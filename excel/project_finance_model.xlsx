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onstruction" sheetId="3" state="visible" r:id="rId5"/>
    <sheet name="Operations" sheetId="4" state="visible" r:id="rId6"/>
    <sheet name="Analysis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<sst xmlns="http://schemas.openxmlformats.org/spreadsheetml/2006/main" count="161" uniqueCount="155">
  <si>
    <t xml:space="preserve">Project finance model (formula version)</t>
  </si>
  <si>
    <t xml:space="preserve">Hypothetical inputs. Not a real project, not market terms, not advice, and not any rating agency's model or criteria.</t>
  </si>
  <si>
    <t xml:space="preserve">What it does</t>
  </si>
  <si>
    <t xml:space="preserve">Sizes senior debt on the sponsor case as min(PV of CFADS over the tenor / target DSCR, gearing cap x total uses),</t>
  </si>
  <si>
    <t xml:space="preserve">sculpts repayments to the resulting DSCR, then runs the active stress on Inputs against that frozen schedule:</t>
  </si>
  <si>
    <t xml:space="preserve">DSCR, LLCR, PLCR, lock-up and default-level tests, payment shortfalls, distributions and equity IRR.</t>
  </si>
  <si>
    <t xml:space="preserve">It reproduces src/projectfinancelab/model.py; Checks compares the two.</t>
  </si>
  <si>
    <t xml:space="preserve">How to use</t>
  </si>
  <si>
    <t xml:space="preserve">Edit only blue cells on Inputs. Stress cells (rows 26-29) change Analysis only; sizing never sees the stress.</t>
  </si>
  <si>
    <t xml:space="preserve">Debt and total uses (rows 32-33) are pasted values: IDC and the fee depend on the debt, so the model is circular.</t>
  </si>
  <si>
    <t xml:space="preserve">After changing any sponsor input, paste Checks!C5 into Inputs!C32 and Checks!C6 into Inputs!C33 and repeat</t>
  </si>
  <si>
    <t xml:space="preserve">until both 'converged' checks are TRUE (a few rounds), or run project-finance-lab and paste its values.</t>
  </si>
  <si>
    <t xml:space="preserve">Excel's iterative calculation is deliberately not used: it hides non-convergence.</t>
  </si>
  <si>
    <t xml:space="preserve">Sheets</t>
  </si>
  <si>
    <t xml:space="preserve">Inputs; Construction (capex, fee, IDC, pro-rata funding); Operations (sponsor case, sizing, frozen schedule);</t>
  </si>
  <si>
    <t xml:space="preserve">Analysis (stressed case on the frozen schedule); Checks (identities and the Python cross-check).</t>
  </si>
  <si>
    <t xml:space="preserve">Method and every formula: docs/model_spec.md. Limitations: docs/limitations.md.</t>
  </si>
  <si>
    <t xml:space="preserve">Inputs (edit blue cells only; all hypothetical)</t>
  </si>
  <si>
    <t xml:space="preserve">Sponsor case and financing terms</t>
  </si>
  <si>
    <t xml:space="preserve">Legend</t>
  </si>
  <si>
    <t xml:space="preserve">Construction years (1-3)</t>
  </si>
  <si>
    <t xml:space="preserve">Blue text = input</t>
  </si>
  <si>
    <t xml:space="preserve">Capex, before IDC and fees (m)</t>
  </si>
  <si>
    <t xml:space="preserve">Yellow fill = key assumption or pasted value</t>
  </si>
  <si>
    <t xml:space="preserve">Capex share, construction year 1</t>
  </si>
  <si>
    <t xml:space="preserve">Source: examples/project_hypothetical.json (hypothetical)</t>
  </si>
  <si>
    <t xml:space="preserve">Capex share, construction year 2</t>
  </si>
  <si>
    <t xml:space="preserve">Capex share, construction year 3</t>
  </si>
  <si>
    <t xml:space="preserve">Shipped cases (illustrative layering, not any agency's rating case)</t>
  </si>
  <si>
    <t xml:space="preserve">Operating years (max 30)</t>
  </si>
  <si>
    <t xml:space="preserve">sponsor: no stress</t>
  </si>
  <si>
    <t xml:space="preserve">Revenue, operating year 1 (m)</t>
  </si>
  <si>
    <t xml:space="preserve">base: revenue_haircut 0.05, opex_increase 0.05</t>
  </si>
  <si>
    <t xml:space="preserve">Revenue growth a year</t>
  </si>
  <si>
    <t xml:space="preserve">downside: revenue_haircut 0.12, opex_increase 0.15, capex_overrun 0.05</t>
  </si>
  <si>
    <t xml:space="preserve">Opex, operating year 1 (m)</t>
  </si>
  <si>
    <t xml:space="preserve">delay_6m: delay_months 6</t>
  </si>
  <si>
    <t xml:space="preserve">Opex growth a year</t>
  </si>
  <si>
    <t xml:space="preserve">Tax rate (on EBITDA - depreciation, floor 0)</t>
  </si>
  <si>
    <t xml:space="preserve">Depreciation years (straight line on capex)</t>
  </si>
  <si>
    <t xml:space="preserve">Debt all-in fixed rate</t>
  </si>
  <si>
    <t xml:space="preserve">Debt tenor, operating years (&lt; operating years)</t>
  </si>
  <si>
    <t xml:space="preserve">Target DSCR for sizing</t>
  </si>
  <si>
    <t xml:space="preserve">Maximum gearing (debt / total uses)</t>
  </si>
  <si>
    <t xml:space="preserve">Upfront fee (share of debt)</t>
  </si>
  <si>
    <t xml:space="preserve">Lock-up DSCR</t>
  </si>
  <si>
    <t xml:space="preserve">Default-level DSCR</t>
  </si>
  <si>
    <t xml:space="preserve">Active stress (shipped: 'downside' case; stress never changes the debt)</t>
  </si>
  <si>
    <t xml:space="preserve">Stress: revenue haircut</t>
  </si>
  <si>
    <t xml:space="preserve">Stress: opex increase</t>
  </si>
  <si>
    <t xml:space="preserve">Stress: COD delay, months (revenue lost in year 1)</t>
  </si>
  <si>
    <t xml:space="preserve">Stress: capex overrun, equity-funded (share of capex)</t>
  </si>
  <si>
    <t xml:space="preserve">Circular values, pasted</t>
  </si>
  <si>
    <t xml:space="preserve">Debt (pasted; see README)</t>
  </si>
  <si>
    <t xml:space="preserve">Paste from Checks!C5 once converged</t>
  </si>
  <si>
    <t xml:space="preserve">Total uses (pasted; see README)</t>
  </si>
  <si>
    <t xml:space="preserve">Paste from Checks!C6 once converged</t>
  </si>
  <si>
    <t xml:space="preserve">Construction: capex, fee, IDC and pro-rata funding</t>
  </si>
  <si>
    <t xml:space="preserve">Construction year</t>
  </si>
  <si>
    <t xml:space="preserve">Active</t>
  </si>
  <si>
    <t xml:space="preserve">Capex</t>
  </si>
  <si>
    <t xml:space="preserve">Upfront fee</t>
  </si>
  <si>
    <t xml:space="preserve">Opening debt balance</t>
  </si>
  <si>
    <t xml:space="preserve">IDC (rate x opening balance, capitalised)</t>
  </si>
  <si>
    <t xml:space="preserve">Uses</t>
  </si>
  <si>
    <t xml:space="preserve">Debt draw (debt share x uses)</t>
  </si>
  <si>
    <t xml:space="preserve">Closing debt balance</t>
  </si>
  <si>
    <t xml:space="preserve">Equity</t>
  </si>
  <si>
    <t xml:space="preserve">Total uses (calculated)</t>
  </si>
  <si>
    <t xml:space="preserve">Debt share (pasted debt / pasted uses)</t>
  </si>
  <si>
    <t xml:space="preserve">Debt balance at COD</t>
  </si>
  <si>
    <t xml:space="preserve">Total equity</t>
  </si>
  <si>
    <t xml:space="preserve">Operations: sponsor case, debt sizing and the frozen repayment schedule</t>
  </si>
  <si>
    <t xml:space="preserve">Operating year</t>
  </si>
  <si>
    <t xml:space="preserve">Operating</t>
  </si>
  <si>
    <t xml:space="preserve">In debt tenor</t>
  </si>
  <si>
    <t xml:space="preserve">Revenue</t>
  </si>
  <si>
    <t xml:space="preserve">Opex</t>
  </si>
  <si>
    <t xml:space="preserve">EBITDA</t>
  </si>
  <si>
    <t xml:space="preserve">Depreciation</t>
  </si>
  <si>
    <t xml:space="preserve">Tax</t>
  </si>
  <si>
    <t xml:space="preserve">CFADS (sponsor case)</t>
  </si>
  <si>
    <t xml:space="preserve">Discount factor, end of year</t>
  </si>
  <si>
    <t xml:space="preserve">Discount factor, start of year</t>
  </si>
  <si>
    <t xml:space="preserve">Debt service (sculpted; frozen)</t>
  </si>
  <si>
    <t xml:space="preserve">Opening balance</t>
  </si>
  <si>
    <t xml:space="preserve">Interest</t>
  </si>
  <si>
    <t xml:space="preserve">Principal</t>
  </si>
  <si>
    <t xml:space="preserve">Closing balance</t>
  </si>
  <si>
    <t xml:space="preserve">LLCR, sponsor case (must equal sculpting DSCR)</t>
  </si>
  <si>
    <t xml:space="preserve">Sizing</t>
  </si>
  <si>
    <t xml:space="preserve">PV at COD of sponsor CFADS over the tenor</t>
  </si>
  <si>
    <t xml:space="preserve">Debt capacity at target DSCR</t>
  </si>
  <si>
    <t xml:space="preserve">Gearing cap x total uses</t>
  </si>
  <si>
    <t xml:space="preserve">Debt (calculated) = min of the two</t>
  </si>
  <si>
    <t xml:space="preserve">Sculpting DSCR = PV / pasted debt</t>
  </si>
  <si>
    <t xml:space="preserve">Binding constraint</t>
  </si>
  <si>
    <t xml:space="preserve">Balance at maturity</t>
  </si>
  <si>
    <t xml:space="preserve">Sum of principal over the tenor</t>
  </si>
  <si>
    <t xml:space="preserve">Smallest principal payment in the tenor</t>
  </si>
  <si>
    <t xml:space="preserve">Analysis: active stress against the frozen debt schedule</t>
  </si>
  <si>
    <t xml:space="preserve">Revenue (stressed)</t>
  </si>
  <si>
    <t xml:space="preserve">Opex (stressed)</t>
  </si>
  <si>
    <t xml:space="preserve">CFADS (stressed)</t>
  </si>
  <si>
    <t xml:space="preserve">Debt service (frozen, from Operations)</t>
  </si>
  <si>
    <t xml:space="preserve">DSCR</t>
  </si>
  <si>
    <t xml:space="preserve">LLCR</t>
  </si>
  <si>
    <t xml:space="preserve">Lock-up (DSCR &lt; lock-up level)</t>
  </si>
  <si>
    <t xml:space="preserve">Default level (DSCR &lt; default level)</t>
  </si>
  <si>
    <t xml:space="preserve">Cash available (b/f + CFADS - debt service)</t>
  </si>
  <si>
    <t xml:space="preserve">Payment shortfall</t>
  </si>
  <si>
    <t xml:space="preserve">Cash carried forward</t>
  </si>
  <si>
    <t xml:space="preserve">Distributions</t>
  </si>
  <si>
    <t xml:space="preserve">Equity cash flows: last 3 construction slots, then operating years</t>
  </si>
  <si>
    <t xml:space="preserve">Results</t>
  </si>
  <si>
    <t xml:space="preserve">Minimum DSCR</t>
  </si>
  <si>
    <t xml:space="preserve">Average DSCR</t>
  </si>
  <si>
    <t xml:space="preserve">LLCR at COD</t>
  </si>
  <si>
    <t xml:space="preserve">Minimum LLCR</t>
  </si>
  <si>
    <t xml:space="preserve">PLCR at COD</t>
  </si>
  <si>
    <t xml:space="preserve">Lock-up years</t>
  </si>
  <si>
    <t xml:space="preserve">Default-level years</t>
  </si>
  <si>
    <t xml:space="preserve">Total payment shortfall</t>
  </si>
  <si>
    <t xml:space="preserve">Total distributions</t>
  </si>
  <si>
    <t xml:space="preserve">Equity IRR (second guess -10% if the default fails)</t>
  </si>
  <si>
    <t xml:space="preserve">Checks</t>
  </si>
  <si>
    <t xml:space="preserve">Model identities (must all be TRUE)</t>
  </si>
  <si>
    <t xml:space="preserve">Calculated</t>
  </si>
  <si>
    <t xml:space="preserve">Debt converged: calculated debt = pasted debt</t>
  </si>
  <si>
    <t xml:space="preserve">Uses converged: calculated uses = pasted uses</t>
  </si>
  <si>
    <t xml:space="preserve">Debt balance at COD = debt</t>
  </si>
  <si>
    <t xml:space="preserve">Principal over the tenor sums to the debt</t>
  </si>
  <si>
    <t xml:space="preserve">Balance is zero at maturity</t>
  </si>
  <si>
    <t xml:space="preserve">Sources = uses (debt + equity = total uses)</t>
  </si>
  <si>
    <t xml:space="preserve">Gearing within the cap</t>
  </si>
  <si>
    <t xml:space="preserve">Sponsor-case LLCR = sculpting DSCR in every tenor year</t>
  </si>
  <si>
    <t xml:space="preserve">Frozen debt: debt service on Analysis = sizing schedule</t>
  </si>
  <si>
    <t xml:space="preserve">Capex profile sums to 1 and is fully placed</t>
  </si>
  <si>
    <t xml:space="preserve">Layout limits: 1-3 construction years, tenor &lt; operating years &lt;= 30</t>
  </si>
  <si>
    <t xml:space="preserve">Overall</t>
  </si>
  <si>
    <t xml:space="preserve">Information (not a pass/fail test): smallest principal payment is not negative</t>
  </si>
  <si>
    <t xml:space="preserve">Cross-check against the Python model: shipped inputs, 'downside' stress active</t>
  </si>
  <si>
    <t xml:space="preserve">Reference values from project-finance-lab run --config examples/project_hypothetical.json. They are expected to differ once inputs change; excel/regression tests other inputs.</t>
  </si>
  <si>
    <t xml:space="preserve">Metric</t>
  </si>
  <si>
    <t xml:space="preserve">Python</t>
  </si>
  <si>
    <t xml:space="preserve">Workbook</t>
  </si>
  <si>
    <t xml:space="preserve">Match</t>
  </si>
  <si>
    <t xml:space="preserve">Debt</t>
  </si>
  <si>
    <t xml:space="preserve">Total uses</t>
  </si>
  <si>
    <t xml:space="preserve">Sculpting DSCR</t>
  </si>
  <si>
    <t xml:space="preserve">Minimum DSCR, downside case</t>
  </si>
  <si>
    <t xml:space="preserve">LLCR at COD, downside case</t>
  </si>
  <si>
    <t xml:space="preserve">PLCR at COD, downside case</t>
  </si>
  <si>
    <t xml:space="preserve">Lock-up years, downside case</t>
  </si>
  <si>
    <t xml:space="preserve">Equity IRR, downside case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</si>
</sst>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;\(#,##0.00\);\-"/>
    <numFmt numFmtId="167" formatCode="0.00%"/>
    <numFmt numFmtId="168" formatCode="0.0000\x"/>
    <numFmt numFmtId="169" formatCode="0.0"/>
    <numFmt numFmtId="170" formatCode="0.000000"/>
    <numFmt numFmtId="171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39" min="7" style="0" width="14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B3" s="2" t="s">
        <v>18</v>
      </c>
    </row>
    <row r="4" customFormat="false" ht="15" hidden="false" customHeight="false" outlineLevel="0" collapsed="false">
      <c r="F4" s="2" t="s">
        <v>19</v>
      </c>
    </row>
    <row r="5" customFormat="false" ht="15" hidden="false" customHeight="false" outlineLevel="0" collapsed="false">
      <c r="B5" s="3" t="s">
        <v>20</v>
      </c>
      <c r="C5" s="4" t="n">
        <v>2</v>
      </c>
      <c r="F5" s="5" t="s">
        <v>21</v>
      </c>
    </row>
    <row r="6" customFormat="false" ht="15" hidden="false" customHeight="false" outlineLevel="0" collapsed="false">
      <c r="B6" s="3" t="s">
        <v>22</v>
      </c>
      <c r="C6" s="6" t="n">
        <v>400</v>
      </c>
      <c r="F6" s="7" t="s">
        <v>23</v>
      </c>
    </row>
    <row r="7" customFormat="false" ht="15" hidden="false" customHeight="false" outlineLevel="0" collapsed="false">
      <c r="B7" s="3" t="s">
        <v>24</v>
      </c>
      <c r="C7" s="8" t="n">
        <v>0.45</v>
      </c>
      <c r="F7" s="3" t="s">
        <v>25</v>
      </c>
    </row>
    <row r="8" customFormat="false" ht="15" hidden="false" customHeight="false" outlineLevel="0" collapsed="false">
      <c r="B8" s="3" t="s">
        <v>26</v>
      </c>
      <c r="C8" s="8" t="n">
        <v>0.55</v>
      </c>
    </row>
    <row r="9" customFormat="false" ht="15" hidden="false" customHeight="false" outlineLevel="0" collapsed="false">
      <c r="B9" s="3" t="s">
        <v>27</v>
      </c>
      <c r="C9" s="8" t="n">
        <v>0</v>
      </c>
      <c r="F9" s="2" t="s">
        <v>28</v>
      </c>
    </row>
    <row r="10" customFormat="false" ht="15" hidden="false" customHeight="false" outlineLevel="0" collapsed="false">
      <c r="B10" s="3" t="s">
        <v>29</v>
      </c>
      <c r="C10" s="4" t="n">
        <v>25</v>
      </c>
      <c r="F10" s="3" t="s">
        <v>30</v>
      </c>
    </row>
    <row r="11" customFormat="false" ht="15" hidden="false" customHeight="false" outlineLevel="0" collapsed="false">
      <c r="B11" s="3" t="s">
        <v>31</v>
      </c>
      <c r="C11" s="6" t="n">
        <v>62</v>
      </c>
      <c r="F11" s="3" t="s">
        <v>32</v>
      </c>
    </row>
    <row r="12" customFormat="false" ht="15" hidden="false" customHeight="false" outlineLevel="0" collapsed="false">
      <c r="B12" s="3" t="s">
        <v>33</v>
      </c>
      <c r="C12" s="8" t="n">
        <v>0.02</v>
      </c>
      <c r="F12" s="3" t="s">
        <v>34</v>
      </c>
    </row>
    <row r="13" customFormat="false" ht="15" hidden="false" customHeight="false" outlineLevel="0" collapsed="false">
      <c r="B13" s="3" t="s">
        <v>35</v>
      </c>
      <c r="C13" s="6" t="n">
        <v>14</v>
      </c>
      <c r="F13" s="3" t="s">
        <v>36</v>
      </c>
    </row>
    <row r="14" customFormat="false" ht="15" hidden="false" customHeight="false" outlineLevel="0" collapsed="false">
      <c r="B14" s="3" t="s">
        <v>37</v>
      </c>
      <c r="C14" s="8" t="n">
        <v>0.025</v>
      </c>
    </row>
    <row r="15" customFormat="false" ht="15" hidden="false" customHeight="false" outlineLevel="0" collapsed="false">
      <c r="B15" s="3" t="s">
        <v>38</v>
      </c>
      <c r="C15" s="8" t="n">
        <v>0.25</v>
      </c>
    </row>
    <row r="16" customFormat="false" ht="15" hidden="false" customHeight="false" outlineLevel="0" collapsed="false">
      <c r="B16" s="3" t="s">
        <v>39</v>
      </c>
      <c r="C16" s="4" t="n">
        <v>20</v>
      </c>
    </row>
    <row r="17" customFormat="false" ht="15" hidden="false" customHeight="false" outlineLevel="0" collapsed="false">
      <c r="B17" s="3" t="s">
        <v>40</v>
      </c>
      <c r="C17" s="8" t="n">
        <v>0.06</v>
      </c>
    </row>
    <row r="18" customFormat="false" ht="15" hidden="false" customHeight="false" outlineLevel="0" collapsed="false">
      <c r="B18" s="3" t="s">
        <v>41</v>
      </c>
      <c r="C18" s="4" t="n">
        <v>18</v>
      </c>
    </row>
    <row r="19" customFormat="false" ht="15" hidden="false" customHeight="false" outlineLevel="0" collapsed="false">
      <c r="B19" s="3" t="s">
        <v>42</v>
      </c>
      <c r="C19" s="9" t="n">
        <v>1.35</v>
      </c>
    </row>
    <row r="20" customFormat="false" ht="15" hidden="false" customHeight="false" outlineLevel="0" collapsed="false">
      <c r="B20" s="3" t="s">
        <v>43</v>
      </c>
      <c r="C20" s="10" t="n">
        <v>0.9</v>
      </c>
    </row>
    <row r="21" customFormat="false" ht="15" hidden="false" customHeight="false" outlineLevel="0" collapsed="false">
      <c r="B21" s="3" t="s">
        <v>44</v>
      </c>
      <c r="C21" s="8" t="n">
        <v>0.015</v>
      </c>
    </row>
    <row r="22" customFormat="false" ht="15" hidden="false" customHeight="false" outlineLevel="0" collapsed="false">
      <c r="B22" s="3" t="s">
        <v>45</v>
      </c>
      <c r="C22" s="11" t="n">
        <v>1.15</v>
      </c>
    </row>
    <row r="23" customFormat="false" ht="15" hidden="false" customHeight="false" outlineLevel="0" collapsed="false">
      <c r="B23" s="3" t="s">
        <v>46</v>
      </c>
      <c r="C23" s="11" t="n">
        <v>1.05</v>
      </c>
    </row>
    <row r="25" customFormat="false" ht="15" hidden="false" customHeight="false" outlineLevel="0" collapsed="false">
      <c r="B25" s="2" t="s">
        <v>47</v>
      </c>
    </row>
    <row r="26" customFormat="false" ht="15" hidden="false" customHeight="false" outlineLevel="0" collapsed="false">
      <c r="B26" s="3" t="s">
        <v>48</v>
      </c>
      <c r="C26" s="8" t="n">
        <v>0.12</v>
      </c>
    </row>
    <row r="27" customFormat="false" ht="15" hidden="false" customHeight="false" outlineLevel="0" collapsed="false">
      <c r="B27" s="3" t="s">
        <v>49</v>
      </c>
      <c r="C27" s="8" t="n">
        <v>0.15</v>
      </c>
    </row>
    <row r="28" customFormat="false" ht="15" hidden="false" customHeight="false" outlineLevel="0" collapsed="false">
      <c r="B28" s="3" t="s">
        <v>50</v>
      </c>
      <c r="C28" s="12" t="n">
        <v>0</v>
      </c>
    </row>
    <row r="29" customFormat="false" ht="15" hidden="false" customHeight="false" outlineLevel="0" collapsed="false">
      <c r="B29" s="3" t="s">
        <v>51</v>
      </c>
      <c r="C29" s="8" t="n">
        <v>0.05</v>
      </c>
    </row>
    <row r="31" customFormat="false" ht="15" hidden="false" customHeight="false" outlineLevel="0" collapsed="false">
      <c r="B31" s="2" t="s">
        <v>52</v>
      </c>
    </row>
    <row r="32" customFormat="false" ht="15" hidden="false" customHeight="false" outlineLevel="0" collapsed="false">
      <c r="B32" s="3" t="s">
        <v>53</v>
      </c>
      <c r="C32" s="13" t="n">
        <v>369.536697002487</v>
      </c>
      <c r="D32" s="3" t="s">
        <v>54</v>
      </c>
    </row>
    <row r="33" customFormat="false" ht="15" hidden="false" customHeight="false" outlineLevel="0" collapsed="false">
      <c r="B33" s="3" t="s">
        <v>55</v>
      </c>
      <c r="C33" s="13" t="n">
        <v>415.445429137024</v>
      </c>
      <c r="D33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9" min="3" style="0" width="14"/>
  </cols>
  <sheetData>
    <row r="1" customFormat="false" ht="17.35" hidden="false" customHeight="false" outlineLevel="0" collapsed="false">
      <c r="A1" s="1" t="s">
        <v>57</v>
      </c>
    </row>
    <row r="4" customFormat="false" ht="15" hidden="false" customHeight="false" outlineLevel="0" collapsed="false">
      <c r="B4" s="2" t="s">
        <v>58</v>
      </c>
      <c r="C4" s="14" t="n">
        <v>1</v>
      </c>
      <c r="D4" s="14" t="n">
        <v>2</v>
      </c>
      <c r="E4" s="14" t="n">
        <v>3</v>
      </c>
    </row>
    <row r="5" customFormat="false" ht="15" hidden="false" customHeight="false" outlineLevel="0" collapsed="false">
      <c r="B5" s="3" t="s">
        <v>59</v>
      </c>
      <c r="C5" s="15" t="n">
        <f aca="false">IF(C$4&lt;=Inputs!$C$5,1,0)</f>
        <v>1</v>
      </c>
      <c r="D5" s="15" t="n">
        <f aca="false">IF(D$4&lt;=Inputs!$C$5,1,0)</f>
        <v>1</v>
      </c>
      <c r="E5" s="15" t="n">
        <f aca="false">IF(E$4&lt;=Inputs!$C$5,1,0)</f>
        <v>0</v>
      </c>
    </row>
    <row r="6" customFormat="false" ht="15" hidden="false" customHeight="false" outlineLevel="0" collapsed="false">
      <c r="B6" s="3" t="s">
        <v>60</v>
      </c>
      <c r="C6" s="16" t="n">
        <f aca="false">Inputs!$C$6*INDEX(Inputs!$C$7:$C$9,C$4)*C5</f>
        <v>180</v>
      </c>
      <c r="D6" s="16" t="n">
        <f aca="false">Inputs!$C$6*INDEX(Inputs!$C$7:$C$9,D$4)*D5</f>
        <v>220</v>
      </c>
      <c r="E6" s="16" t="n">
        <f aca="false">Inputs!$C$6*INDEX(Inputs!$C$7:$C$9,E$4)*E5</f>
        <v>0</v>
      </c>
    </row>
    <row r="7" customFormat="false" ht="15" hidden="false" customHeight="false" outlineLevel="0" collapsed="false">
      <c r="B7" s="3" t="s">
        <v>61</v>
      </c>
      <c r="C7" s="16" t="n">
        <f aca="false">IF(C$4=1,Inputs!$C$21*Inputs!$C$32,0)</f>
        <v>5.5430504550373</v>
      </c>
      <c r="D7" s="16" t="n">
        <f aca="false">IF(D$4=1,Inputs!$C$21*Inputs!$C$32,0)</f>
        <v>0</v>
      </c>
      <c r="E7" s="16" t="n">
        <f aca="false">IF(E$4=1,Inputs!$C$21*Inputs!$C$32,0)</f>
        <v>0</v>
      </c>
    </row>
    <row r="8" customFormat="false" ht="15" hidden="false" customHeight="false" outlineLevel="0" collapsed="false">
      <c r="B8" s="3" t="s">
        <v>62</v>
      </c>
      <c r="C8" s="17" t="n">
        <v>0</v>
      </c>
      <c r="D8" s="17" t="n">
        <f aca="false">C12</f>
        <v>165.039644699776</v>
      </c>
      <c r="E8" s="17" t="n">
        <f aca="false">D12</f>
        <v>369.536697002486</v>
      </c>
    </row>
    <row r="9" customFormat="false" ht="15" hidden="false" customHeight="false" outlineLevel="0" collapsed="false">
      <c r="B9" s="3" t="s">
        <v>63</v>
      </c>
      <c r="C9" s="16" t="n">
        <f aca="false">Inputs!$C$17*C8*C5</f>
        <v>0</v>
      </c>
      <c r="D9" s="16" t="n">
        <f aca="false">Inputs!$C$17*D8*D5</f>
        <v>9.90237868198653</v>
      </c>
      <c r="E9" s="16" t="n">
        <f aca="false">Inputs!$C$17*E8*E5</f>
        <v>0</v>
      </c>
    </row>
    <row r="10" customFormat="false" ht="15" hidden="false" customHeight="false" outlineLevel="0" collapsed="false">
      <c r="B10" s="3" t="s">
        <v>64</v>
      </c>
      <c r="C10" s="17" t="n">
        <f aca="false">C6+C7+C9</f>
        <v>185.543050455037</v>
      </c>
      <c r="D10" s="17" t="n">
        <f aca="false">D6+D7+D9</f>
        <v>229.902378681987</v>
      </c>
      <c r="E10" s="17" t="n">
        <f aca="false">E6+E7+E9</f>
        <v>0</v>
      </c>
    </row>
    <row r="11" customFormat="false" ht="15" hidden="false" customHeight="false" outlineLevel="0" collapsed="false">
      <c r="B11" s="3" t="s">
        <v>65</v>
      </c>
      <c r="C11" s="17" t="n">
        <f aca="false">$C$16*C10</f>
        <v>165.039644699776</v>
      </c>
      <c r="D11" s="17" t="n">
        <f aca="false">$C$16*D10</f>
        <v>204.497052302711</v>
      </c>
      <c r="E11" s="17" t="n">
        <f aca="false">$C$16*E10</f>
        <v>0</v>
      </c>
    </row>
    <row r="12" customFormat="false" ht="15" hidden="false" customHeight="false" outlineLevel="0" collapsed="false">
      <c r="B12" s="3" t="s">
        <v>66</v>
      </c>
      <c r="C12" s="17" t="n">
        <f aca="false">C8+C11</f>
        <v>165.039644699776</v>
      </c>
      <c r="D12" s="17" t="n">
        <f aca="false">D8+D11</f>
        <v>369.536697002486</v>
      </c>
      <c r="E12" s="17" t="n">
        <f aca="false">E8+E11</f>
        <v>369.536697002486</v>
      </c>
    </row>
    <row r="13" customFormat="false" ht="15" hidden="false" customHeight="false" outlineLevel="0" collapsed="false">
      <c r="B13" s="3" t="s">
        <v>67</v>
      </c>
      <c r="C13" s="17" t="n">
        <f aca="false">C10-C11</f>
        <v>20.5034057552618</v>
      </c>
      <c r="D13" s="17" t="n">
        <f aca="false">D10-D11</f>
        <v>25.4053263792756</v>
      </c>
      <c r="E13" s="17" t="n">
        <f aca="false">E10-E11</f>
        <v>0</v>
      </c>
    </row>
    <row r="15" customFormat="false" ht="15" hidden="false" customHeight="false" outlineLevel="0" collapsed="false">
      <c r="B15" s="2" t="s">
        <v>68</v>
      </c>
      <c r="C15" s="17" t="n">
        <f aca="false">SUM(C10:E10)</f>
        <v>415.445429137024</v>
      </c>
    </row>
    <row r="16" customFormat="false" ht="15" hidden="false" customHeight="false" outlineLevel="0" collapsed="false">
      <c r="B16" s="2" t="s">
        <v>69</v>
      </c>
      <c r="C16" s="18" t="n">
        <f aca="false">Inputs!C32/Inputs!C33</f>
        <v>0.88949515648806</v>
      </c>
    </row>
    <row r="17" customFormat="false" ht="15" hidden="false" customHeight="false" outlineLevel="0" collapsed="false">
      <c r="B17" s="2" t="s">
        <v>70</v>
      </c>
      <c r="C17" s="17" t="n">
        <f aca="false">E12</f>
        <v>369.536697002486</v>
      </c>
    </row>
    <row r="18" customFormat="false" ht="15" hidden="false" customHeight="false" outlineLevel="0" collapsed="false">
      <c r="B18" s="2" t="s">
        <v>71</v>
      </c>
      <c r="C18" s="17" t="n">
        <f aca="false">SUM(C13:E13)</f>
        <v>45.9087321345374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9" min="3" style="0" width="11"/>
  </cols>
  <sheetData>
    <row r="1" customFormat="false" ht="17.35" hidden="false" customHeight="false" outlineLevel="0" collapsed="false">
      <c r="A1" s="1" t="s">
        <v>72</v>
      </c>
    </row>
    <row r="4" customFormat="false" ht="15" hidden="false" customHeight="false" outlineLevel="0" collapsed="false">
      <c r="B4" s="2" t="s">
        <v>73</v>
      </c>
      <c r="D4" s="14" t="n">
        <v>1</v>
      </c>
      <c r="E4" s="14" t="n">
        <v>2</v>
      </c>
      <c r="F4" s="14" t="n">
        <v>3</v>
      </c>
      <c r="G4" s="14" t="n">
        <v>4</v>
      </c>
      <c r="H4" s="14" t="n">
        <v>5</v>
      </c>
      <c r="I4" s="14" t="n">
        <v>6</v>
      </c>
      <c r="J4" s="14" t="n">
        <v>7</v>
      </c>
      <c r="K4" s="14" t="n">
        <v>8</v>
      </c>
      <c r="L4" s="14" t="n">
        <v>9</v>
      </c>
      <c r="M4" s="14" t="n">
        <v>10</v>
      </c>
      <c r="N4" s="14" t="n">
        <v>11</v>
      </c>
      <c r="O4" s="14" t="n">
        <v>12</v>
      </c>
      <c r="P4" s="14" t="n">
        <v>13</v>
      </c>
      <c r="Q4" s="14" t="n">
        <v>14</v>
      </c>
      <c r="R4" s="14" t="n">
        <v>15</v>
      </c>
      <c r="S4" s="14" t="n">
        <v>16</v>
      </c>
      <c r="T4" s="14" t="n">
        <v>17</v>
      </c>
      <c r="U4" s="14" t="n">
        <v>18</v>
      </c>
      <c r="V4" s="14" t="n">
        <v>19</v>
      </c>
      <c r="W4" s="14" t="n">
        <v>20</v>
      </c>
      <c r="X4" s="14" t="n">
        <v>21</v>
      </c>
      <c r="Y4" s="14" t="n">
        <v>22</v>
      </c>
      <c r="Z4" s="14" t="n">
        <v>23</v>
      </c>
      <c r="AA4" s="14" t="n">
        <v>24</v>
      </c>
      <c r="AB4" s="14" t="n">
        <v>25</v>
      </c>
      <c r="AC4" s="14" t="n">
        <v>26</v>
      </c>
      <c r="AD4" s="14" t="n">
        <v>27</v>
      </c>
      <c r="AE4" s="14" t="n">
        <v>28</v>
      </c>
      <c r="AF4" s="14" t="n">
        <v>29</v>
      </c>
      <c r="AG4" s="14" t="n">
        <v>30</v>
      </c>
    </row>
    <row r="5" customFormat="false" ht="15" hidden="false" customHeight="false" outlineLevel="0" collapsed="false">
      <c r="B5" s="3" t="s">
        <v>74</v>
      </c>
      <c r="D5" s="15" t="n">
        <f aca="false">IF(D$4&lt;=Inputs!$C$10,1,0)</f>
        <v>1</v>
      </c>
      <c r="E5" s="15" t="n">
        <f aca="false">IF(E$4&lt;=Inputs!$C$10,1,0)</f>
        <v>1</v>
      </c>
      <c r="F5" s="15" t="n">
        <f aca="false">IF(F$4&lt;=Inputs!$C$10,1,0)</f>
        <v>1</v>
      </c>
      <c r="G5" s="15" t="n">
        <f aca="false">IF(G$4&lt;=Inputs!$C$10,1,0)</f>
        <v>1</v>
      </c>
      <c r="H5" s="15" t="n">
        <f aca="false">IF(H$4&lt;=Inputs!$C$10,1,0)</f>
        <v>1</v>
      </c>
      <c r="I5" s="15" t="n">
        <f aca="false">IF(I$4&lt;=Inputs!$C$10,1,0)</f>
        <v>1</v>
      </c>
      <c r="J5" s="15" t="n">
        <f aca="false">IF(J$4&lt;=Inputs!$C$10,1,0)</f>
        <v>1</v>
      </c>
      <c r="K5" s="15" t="n">
        <f aca="false">IF(K$4&lt;=Inputs!$C$10,1,0)</f>
        <v>1</v>
      </c>
      <c r="L5" s="15" t="n">
        <f aca="false">IF(L$4&lt;=Inputs!$C$10,1,0)</f>
        <v>1</v>
      </c>
      <c r="M5" s="15" t="n">
        <f aca="false">IF(M$4&lt;=Inputs!$C$10,1,0)</f>
        <v>1</v>
      </c>
      <c r="N5" s="15" t="n">
        <f aca="false">IF(N$4&lt;=Inputs!$C$10,1,0)</f>
        <v>1</v>
      </c>
      <c r="O5" s="15" t="n">
        <f aca="false">IF(O$4&lt;=Inputs!$C$10,1,0)</f>
        <v>1</v>
      </c>
      <c r="P5" s="15" t="n">
        <f aca="false">IF(P$4&lt;=Inputs!$C$10,1,0)</f>
        <v>1</v>
      </c>
      <c r="Q5" s="15" t="n">
        <f aca="false">IF(Q$4&lt;=Inputs!$C$10,1,0)</f>
        <v>1</v>
      </c>
      <c r="R5" s="15" t="n">
        <f aca="false">IF(R$4&lt;=Inputs!$C$10,1,0)</f>
        <v>1</v>
      </c>
      <c r="S5" s="15" t="n">
        <f aca="false">IF(S$4&lt;=Inputs!$C$10,1,0)</f>
        <v>1</v>
      </c>
      <c r="T5" s="15" t="n">
        <f aca="false">IF(T$4&lt;=Inputs!$C$10,1,0)</f>
        <v>1</v>
      </c>
      <c r="U5" s="15" t="n">
        <f aca="false">IF(U$4&lt;=Inputs!$C$10,1,0)</f>
        <v>1</v>
      </c>
      <c r="V5" s="15" t="n">
        <f aca="false">IF(V$4&lt;=Inputs!$C$10,1,0)</f>
        <v>1</v>
      </c>
      <c r="W5" s="15" t="n">
        <f aca="false">IF(W$4&lt;=Inputs!$C$10,1,0)</f>
        <v>1</v>
      </c>
      <c r="X5" s="15" t="n">
        <f aca="false">IF(X$4&lt;=Inputs!$C$10,1,0)</f>
        <v>1</v>
      </c>
      <c r="Y5" s="15" t="n">
        <f aca="false">IF(Y$4&lt;=Inputs!$C$10,1,0)</f>
        <v>1</v>
      </c>
      <c r="Z5" s="15" t="n">
        <f aca="false">IF(Z$4&lt;=Inputs!$C$10,1,0)</f>
        <v>1</v>
      </c>
      <c r="AA5" s="15" t="n">
        <f aca="false">IF(AA$4&lt;=Inputs!$C$10,1,0)</f>
        <v>1</v>
      </c>
      <c r="AB5" s="15" t="n">
        <f aca="false">IF(AB$4&lt;=Inputs!$C$10,1,0)</f>
        <v>1</v>
      </c>
      <c r="AC5" s="15" t="n">
        <f aca="false">IF(AC$4&lt;=Inputs!$C$10,1,0)</f>
        <v>0</v>
      </c>
      <c r="AD5" s="15" t="n">
        <f aca="false">IF(AD$4&lt;=Inputs!$C$10,1,0)</f>
        <v>0</v>
      </c>
      <c r="AE5" s="15" t="n">
        <f aca="false">IF(AE$4&lt;=Inputs!$C$10,1,0)</f>
        <v>0</v>
      </c>
      <c r="AF5" s="15" t="n">
        <f aca="false">IF(AF$4&lt;=Inputs!$C$10,1,0)</f>
        <v>0</v>
      </c>
      <c r="AG5" s="15" t="n">
        <f aca="false">IF(AG$4&lt;=Inputs!$C$10,1,0)</f>
        <v>0</v>
      </c>
    </row>
    <row r="6" customFormat="false" ht="15" hidden="false" customHeight="false" outlineLevel="0" collapsed="false">
      <c r="B6" s="3" t="s">
        <v>75</v>
      </c>
      <c r="D6" s="15" t="n">
        <f aca="false">IF(D$4&lt;=Inputs!$C$18,1,0)*D5</f>
        <v>1</v>
      </c>
      <c r="E6" s="15" t="n">
        <f aca="false">IF(E$4&lt;=Inputs!$C$18,1,0)*E5</f>
        <v>1</v>
      </c>
      <c r="F6" s="15" t="n">
        <f aca="false">IF(F$4&lt;=Inputs!$C$18,1,0)*F5</f>
        <v>1</v>
      </c>
      <c r="G6" s="15" t="n">
        <f aca="false">IF(G$4&lt;=Inputs!$C$18,1,0)*G5</f>
        <v>1</v>
      </c>
      <c r="H6" s="15" t="n">
        <f aca="false">IF(H$4&lt;=Inputs!$C$18,1,0)*H5</f>
        <v>1</v>
      </c>
      <c r="I6" s="15" t="n">
        <f aca="false">IF(I$4&lt;=Inputs!$C$18,1,0)*I5</f>
        <v>1</v>
      </c>
      <c r="J6" s="15" t="n">
        <f aca="false">IF(J$4&lt;=Inputs!$C$18,1,0)*J5</f>
        <v>1</v>
      </c>
      <c r="K6" s="15" t="n">
        <f aca="false">IF(K$4&lt;=Inputs!$C$18,1,0)*K5</f>
        <v>1</v>
      </c>
      <c r="L6" s="15" t="n">
        <f aca="false">IF(L$4&lt;=Inputs!$C$18,1,0)*L5</f>
        <v>1</v>
      </c>
      <c r="M6" s="15" t="n">
        <f aca="false">IF(M$4&lt;=Inputs!$C$18,1,0)*M5</f>
        <v>1</v>
      </c>
      <c r="N6" s="15" t="n">
        <f aca="false">IF(N$4&lt;=Inputs!$C$18,1,0)*N5</f>
        <v>1</v>
      </c>
      <c r="O6" s="15" t="n">
        <f aca="false">IF(O$4&lt;=Inputs!$C$18,1,0)*O5</f>
        <v>1</v>
      </c>
      <c r="P6" s="15" t="n">
        <f aca="false">IF(P$4&lt;=Inputs!$C$18,1,0)*P5</f>
        <v>1</v>
      </c>
      <c r="Q6" s="15" t="n">
        <f aca="false">IF(Q$4&lt;=Inputs!$C$18,1,0)*Q5</f>
        <v>1</v>
      </c>
      <c r="R6" s="15" t="n">
        <f aca="false">IF(R$4&lt;=Inputs!$C$18,1,0)*R5</f>
        <v>1</v>
      </c>
      <c r="S6" s="15" t="n">
        <f aca="false">IF(S$4&lt;=Inputs!$C$18,1,0)*S5</f>
        <v>1</v>
      </c>
      <c r="T6" s="15" t="n">
        <f aca="false">IF(T$4&lt;=Inputs!$C$18,1,0)*T5</f>
        <v>1</v>
      </c>
      <c r="U6" s="15" t="n">
        <f aca="false">IF(U$4&lt;=Inputs!$C$18,1,0)*U5</f>
        <v>1</v>
      </c>
      <c r="V6" s="15" t="n">
        <f aca="false">IF(V$4&lt;=Inputs!$C$18,1,0)*V5</f>
        <v>0</v>
      </c>
      <c r="W6" s="15" t="n">
        <f aca="false">IF(W$4&lt;=Inputs!$C$18,1,0)*W5</f>
        <v>0</v>
      </c>
      <c r="X6" s="15" t="n">
        <f aca="false">IF(X$4&lt;=Inputs!$C$18,1,0)*X5</f>
        <v>0</v>
      </c>
      <c r="Y6" s="15" t="n">
        <f aca="false">IF(Y$4&lt;=Inputs!$C$18,1,0)*Y5</f>
        <v>0</v>
      </c>
      <c r="Z6" s="15" t="n">
        <f aca="false">IF(Z$4&lt;=Inputs!$C$18,1,0)*Z5</f>
        <v>0</v>
      </c>
      <c r="AA6" s="15" t="n">
        <f aca="false">IF(AA$4&lt;=Inputs!$C$18,1,0)*AA5</f>
        <v>0</v>
      </c>
      <c r="AB6" s="15" t="n">
        <f aca="false">IF(AB$4&lt;=Inputs!$C$18,1,0)*AB5</f>
        <v>0</v>
      </c>
      <c r="AC6" s="15" t="n">
        <f aca="false">IF(AC$4&lt;=Inputs!$C$18,1,0)*AC5</f>
        <v>0</v>
      </c>
      <c r="AD6" s="15" t="n">
        <f aca="false">IF(AD$4&lt;=Inputs!$C$18,1,0)*AD5</f>
        <v>0</v>
      </c>
      <c r="AE6" s="15" t="n">
        <f aca="false">IF(AE$4&lt;=Inputs!$C$18,1,0)*AE5</f>
        <v>0</v>
      </c>
      <c r="AF6" s="15" t="n">
        <f aca="false">IF(AF$4&lt;=Inputs!$C$18,1,0)*AF5</f>
        <v>0</v>
      </c>
      <c r="AG6" s="15" t="n">
        <f aca="false">IF(AG$4&lt;=Inputs!$C$18,1,0)*AG5</f>
        <v>0</v>
      </c>
    </row>
    <row r="7" customFormat="false" ht="15" hidden="false" customHeight="false" outlineLevel="0" collapsed="false">
      <c r="B7" s="3" t="s">
        <v>76</v>
      </c>
      <c r="D7" s="16" t="n">
        <f aca="false">Inputs!$C$11*(1+Inputs!$C$12)^(D$4-1)*D5</f>
        <v>62</v>
      </c>
      <c r="E7" s="16" t="n">
        <f aca="false">Inputs!$C$11*(1+Inputs!$C$12)^(E$4-1)*E5</f>
        <v>63.24</v>
      </c>
      <c r="F7" s="16" t="n">
        <f aca="false">Inputs!$C$11*(1+Inputs!$C$12)^(F$4-1)*F5</f>
        <v>64.5048</v>
      </c>
      <c r="G7" s="16" t="n">
        <f aca="false">Inputs!$C$11*(1+Inputs!$C$12)^(G$4-1)*G5</f>
        <v>65.794896</v>
      </c>
      <c r="H7" s="16" t="n">
        <f aca="false">Inputs!$C$11*(1+Inputs!$C$12)^(H$4-1)*H5</f>
        <v>67.11079392</v>
      </c>
      <c r="I7" s="16" t="n">
        <f aca="false">Inputs!$C$11*(1+Inputs!$C$12)^(I$4-1)*I5</f>
        <v>68.4530097984</v>
      </c>
      <c r="J7" s="16" t="n">
        <f aca="false">Inputs!$C$11*(1+Inputs!$C$12)^(J$4-1)*J5</f>
        <v>69.822069994368</v>
      </c>
      <c r="K7" s="16" t="n">
        <f aca="false">Inputs!$C$11*(1+Inputs!$C$12)^(K$4-1)*K5</f>
        <v>71.2185113942554</v>
      </c>
      <c r="L7" s="16" t="n">
        <f aca="false">Inputs!$C$11*(1+Inputs!$C$12)^(L$4-1)*L5</f>
        <v>72.6428816221405</v>
      </c>
      <c r="M7" s="16" t="n">
        <f aca="false">Inputs!$C$11*(1+Inputs!$C$12)^(M$4-1)*M5</f>
        <v>74.0957392545833</v>
      </c>
      <c r="N7" s="16" t="n">
        <f aca="false">Inputs!$C$11*(1+Inputs!$C$12)^(N$4-1)*N5</f>
        <v>75.577654039675</v>
      </c>
      <c r="O7" s="16" t="n">
        <f aca="false">Inputs!$C$11*(1+Inputs!$C$12)^(O$4-1)*O5</f>
        <v>77.0892071204685</v>
      </c>
      <c r="P7" s="16" t="n">
        <f aca="false">Inputs!$C$11*(1+Inputs!$C$12)^(P$4-1)*P5</f>
        <v>78.6309912628778</v>
      </c>
      <c r="Q7" s="16" t="n">
        <f aca="false">Inputs!$C$11*(1+Inputs!$C$12)^(Q$4-1)*Q5</f>
        <v>80.2036110881354</v>
      </c>
      <c r="R7" s="16" t="n">
        <f aca="false">Inputs!$C$11*(1+Inputs!$C$12)^(R$4-1)*R5</f>
        <v>81.8076833098981</v>
      </c>
      <c r="S7" s="16" t="n">
        <f aca="false">Inputs!$C$11*(1+Inputs!$C$12)^(S$4-1)*S5</f>
        <v>83.4438369760961</v>
      </c>
      <c r="T7" s="16" t="n">
        <f aca="false">Inputs!$C$11*(1+Inputs!$C$12)^(T$4-1)*T5</f>
        <v>85.112713715618</v>
      </c>
      <c r="U7" s="16" t="n">
        <f aca="false">Inputs!$C$11*(1+Inputs!$C$12)^(U$4-1)*U5</f>
        <v>86.8149679899303</v>
      </c>
      <c r="V7" s="16" t="n">
        <f aca="false">Inputs!$C$11*(1+Inputs!$C$12)^(V$4-1)*V5</f>
        <v>88.551267349729</v>
      </c>
      <c r="W7" s="16" t="n">
        <f aca="false">Inputs!$C$11*(1+Inputs!$C$12)^(W$4-1)*W5</f>
        <v>90.3222926967235</v>
      </c>
      <c r="X7" s="16" t="n">
        <f aca="false">Inputs!$C$11*(1+Inputs!$C$12)^(X$4-1)*X5</f>
        <v>92.128738550658</v>
      </c>
      <c r="Y7" s="16" t="n">
        <f aca="false">Inputs!$C$11*(1+Inputs!$C$12)^(Y$4-1)*Y5</f>
        <v>93.9713133216712</v>
      </c>
      <c r="Z7" s="16" t="n">
        <f aca="false">Inputs!$C$11*(1+Inputs!$C$12)^(Z$4-1)*Z5</f>
        <v>95.8507395881046</v>
      </c>
      <c r="AA7" s="16" t="n">
        <f aca="false">Inputs!$C$11*(1+Inputs!$C$12)^(AA$4-1)*AA5</f>
        <v>97.7677543798667</v>
      </c>
      <c r="AB7" s="16" t="n">
        <f aca="false">Inputs!$C$11*(1+Inputs!$C$12)^(AB$4-1)*AB5</f>
        <v>99.723109467464</v>
      </c>
      <c r="AC7" s="16" t="n">
        <f aca="false">Inputs!$C$11*(1+Inputs!$C$12)^(AC$4-1)*AC5</f>
        <v>0</v>
      </c>
      <c r="AD7" s="16" t="n">
        <f aca="false">Inputs!$C$11*(1+Inputs!$C$12)^(AD$4-1)*AD5</f>
        <v>0</v>
      </c>
      <c r="AE7" s="16" t="n">
        <f aca="false">Inputs!$C$11*(1+Inputs!$C$12)^(AE$4-1)*AE5</f>
        <v>0</v>
      </c>
      <c r="AF7" s="16" t="n">
        <f aca="false">Inputs!$C$11*(1+Inputs!$C$12)^(AF$4-1)*AF5</f>
        <v>0</v>
      </c>
      <c r="AG7" s="16" t="n">
        <f aca="false">Inputs!$C$11*(1+Inputs!$C$12)^(AG$4-1)*AG5</f>
        <v>0</v>
      </c>
    </row>
    <row r="8" customFormat="false" ht="15" hidden="false" customHeight="false" outlineLevel="0" collapsed="false">
      <c r="B8" s="3" t="s">
        <v>77</v>
      </c>
      <c r="D8" s="16" t="n">
        <f aca="false">Inputs!$C$13*(1+Inputs!$C$14)^(D$4-1)*D5</f>
        <v>14</v>
      </c>
      <c r="E8" s="16" t="n">
        <f aca="false">Inputs!$C$13*(1+Inputs!$C$14)^(E$4-1)*E5</f>
        <v>14.35</v>
      </c>
      <c r="F8" s="16" t="n">
        <f aca="false">Inputs!$C$13*(1+Inputs!$C$14)^(F$4-1)*F5</f>
        <v>14.70875</v>
      </c>
      <c r="G8" s="16" t="n">
        <f aca="false">Inputs!$C$13*(1+Inputs!$C$14)^(G$4-1)*G5</f>
        <v>15.07646875</v>
      </c>
      <c r="H8" s="16" t="n">
        <f aca="false">Inputs!$C$13*(1+Inputs!$C$14)^(H$4-1)*H5</f>
        <v>15.45338046875</v>
      </c>
      <c r="I8" s="16" t="n">
        <f aca="false">Inputs!$C$13*(1+Inputs!$C$14)^(I$4-1)*I5</f>
        <v>15.8397149804687</v>
      </c>
      <c r="J8" s="16" t="n">
        <f aca="false">Inputs!$C$13*(1+Inputs!$C$14)^(J$4-1)*J5</f>
        <v>16.2357078549805</v>
      </c>
      <c r="K8" s="16" t="n">
        <f aca="false">Inputs!$C$13*(1+Inputs!$C$14)^(K$4-1)*K5</f>
        <v>16.641600551355</v>
      </c>
      <c r="L8" s="16" t="n">
        <f aca="false">Inputs!$C$13*(1+Inputs!$C$14)^(L$4-1)*L5</f>
        <v>17.0576405651388</v>
      </c>
      <c r="M8" s="16" t="n">
        <f aca="false">Inputs!$C$13*(1+Inputs!$C$14)^(M$4-1)*M5</f>
        <v>17.4840815792673</v>
      </c>
      <c r="N8" s="16" t="n">
        <f aca="false">Inputs!$C$13*(1+Inputs!$C$14)^(N$4-1)*N5</f>
        <v>17.921183618749</v>
      </c>
      <c r="O8" s="16" t="n">
        <f aca="false">Inputs!$C$13*(1+Inputs!$C$14)^(O$4-1)*O5</f>
        <v>18.3692132092177</v>
      </c>
      <c r="P8" s="16" t="n">
        <f aca="false">Inputs!$C$13*(1+Inputs!$C$14)^(P$4-1)*P5</f>
        <v>18.8284435394482</v>
      </c>
      <c r="Q8" s="16" t="n">
        <f aca="false">Inputs!$C$13*(1+Inputs!$C$14)^(Q$4-1)*Q5</f>
        <v>19.2991546279344</v>
      </c>
      <c r="R8" s="16" t="n">
        <f aca="false">Inputs!$C$13*(1+Inputs!$C$14)^(R$4-1)*R5</f>
        <v>19.7816334936327</v>
      </c>
      <c r="S8" s="16" t="n">
        <f aca="false">Inputs!$C$13*(1+Inputs!$C$14)^(S$4-1)*S5</f>
        <v>20.2761743309735</v>
      </c>
      <c r="T8" s="16" t="n">
        <f aca="false">Inputs!$C$13*(1+Inputs!$C$14)^(T$4-1)*T5</f>
        <v>20.7830786892479</v>
      </c>
      <c r="U8" s="16" t="n">
        <f aca="false">Inputs!$C$13*(1+Inputs!$C$14)^(U$4-1)*U5</f>
        <v>21.3026556564791</v>
      </c>
      <c r="V8" s="16" t="n">
        <f aca="false">Inputs!$C$13*(1+Inputs!$C$14)^(V$4-1)*V5</f>
        <v>21.835222047891</v>
      </c>
      <c r="W8" s="16" t="n">
        <f aca="false">Inputs!$C$13*(1+Inputs!$C$14)^(W$4-1)*W5</f>
        <v>22.3811025990883</v>
      </c>
      <c r="X8" s="16" t="n">
        <f aca="false">Inputs!$C$13*(1+Inputs!$C$14)^(X$4-1)*X5</f>
        <v>22.9406301640655</v>
      </c>
      <c r="Y8" s="16" t="n">
        <f aca="false">Inputs!$C$13*(1+Inputs!$C$14)^(Y$4-1)*Y5</f>
        <v>23.5141459181672</v>
      </c>
      <c r="Z8" s="16" t="n">
        <f aca="false">Inputs!$C$13*(1+Inputs!$C$14)^(Z$4-1)*Z5</f>
        <v>24.1019995661213</v>
      </c>
      <c r="AA8" s="16" t="n">
        <f aca="false">Inputs!$C$13*(1+Inputs!$C$14)^(AA$4-1)*AA5</f>
        <v>24.7045495552744</v>
      </c>
      <c r="AB8" s="16" t="n">
        <f aca="false">Inputs!$C$13*(1+Inputs!$C$14)^(AB$4-1)*AB5</f>
        <v>25.3221632941562</v>
      </c>
      <c r="AC8" s="16" t="n">
        <f aca="false">Inputs!$C$13*(1+Inputs!$C$14)^(AC$4-1)*AC5</f>
        <v>0</v>
      </c>
      <c r="AD8" s="16" t="n">
        <f aca="false">Inputs!$C$13*(1+Inputs!$C$14)^(AD$4-1)*AD5</f>
        <v>0</v>
      </c>
      <c r="AE8" s="16" t="n">
        <f aca="false">Inputs!$C$13*(1+Inputs!$C$14)^(AE$4-1)*AE5</f>
        <v>0</v>
      </c>
      <c r="AF8" s="16" t="n">
        <f aca="false">Inputs!$C$13*(1+Inputs!$C$14)^(AF$4-1)*AF5</f>
        <v>0</v>
      </c>
      <c r="AG8" s="16" t="n">
        <f aca="false">Inputs!$C$13*(1+Inputs!$C$14)^(AG$4-1)*AG5</f>
        <v>0</v>
      </c>
    </row>
    <row r="9" customFormat="false" ht="15" hidden="false" customHeight="false" outlineLevel="0" collapsed="false">
      <c r="B9" s="3" t="s">
        <v>78</v>
      </c>
      <c r="D9" s="17" t="n">
        <f aca="false">D7-D8</f>
        <v>48</v>
      </c>
      <c r="E9" s="17" t="n">
        <f aca="false">E7-E8</f>
        <v>48.89</v>
      </c>
      <c r="F9" s="17" t="n">
        <f aca="false">F7-F8</f>
        <v>49.79605</v>
      </c>
      <c r="G9" s="17" t="n">
        <f aca="false">G7-G8</f>
        <v>50.71842725</v>
      </c>
      <c r="H9" s="17" t="n">
        <f aca="false">H7-H8</f>
        <v>51.65741345125</v>
      </c>
      <c r="I9" s="17" t="n">
        <f aca="false">I7-I8</f>
        <v>52.6132948179313</v>
      </c>
      <c r="J9" s="17" t="n">
        <f aca="false">J7-J8</f>
        <v>53.5863621393875</v>
      </c>
      <c r="K9" s="17" t="n">
        <f aca="false">K7-K8</f>
        <v>54.5769108429004</v>
      </c>
      <c r="L9" s="17" t="n">
        <f aca="false">L7-L8</f>
        <v>55.5852410570016</v>
      </c>
      <c r="M9" s="17" t="n">
        <f aca="false">M7-M8</f>
        <v>56.611657675316</v>
      </c>
      <c r="N9" s="17" t="n">
        <f aca="false">N7-N8</f>
        <v>57.656470420926</v>
      </c>
      <c r="O9" s="17" t="n">
        <f aca="false">O7-O8</f>
        <v>58.7199939112507</v>
      </c>
      <c r="P9" s="17" t="n">
        <f aca="false">P7-P8</f>
        <v>59.8025477234297</v>
      </c>
      <c r="Q9" s="17" t="n">
        <f aca="false">Q7-Q8</f>
        <v>60.904456460201</v>
      </c>
      <c r="R9" s="17" t="n">
        <f aca="false">R7-R8</f>
        <v>62.0260498162654</v>
      </c>
      <c r="S9" s="17" t="n">
        <f aca="false">S7-S8</f>
        <v>63.1676626451225</v>
      </c>
      <c r="T9" s="17" t="n">
        <f aca="false">T7-T8</f>
        <v>64.3296350263701</v>
      </c>
      <c r="U9" s="17" t="n">
        <f aca="false">U7-U8</f>
        <v>65.5123123334513</v>
      </c>
      <c r="V9" s="17" t="n">
        <f aca="false">V7-V8</f>
        <v>66.7160453018379</v>
      </c>
      <c r="W9" s="17" t="n">
        <f aca="false">W7-W8</f>
        <v>67.9411900976352</v>
      </c>
      <c r="X9" s="17" t="n">
        <f aca="false">X7-X8</f>
        <v>69.1881083865925</v>
      </c>
      <c r="Y9" s="17" t="n">
        <f aca="false">Y7-Y8</f>
        <v>70.457167403504</v>
      </c>
      <c r="Z9" s="17" t="n">
        <f aca="false">Z7-Z8</f>
        <v>71.7487400219833</v>
      </c>
      <c r="AA9" s="17" t="n">
        <f aca="false">AA7-AA8</f>
        <v>73.0632048245923</v>
      </c>
      <c r="AB9" s="17" t="n">
        <f aca="false">AB7-AB8</f>
        <v>74.4009461733078</v>
      </c>
      <c r="AC9" s="17" t="n">
        <f aca="false">AC7-AC8</f>
        <v>0</v>
      </c>
      <c r="AD9" s="17" t="n">
        <f aca="false">AD7-AD8</f>
        <v>0</v>
      </c>
      <c r="AE9" s="17" t="n">
        <f aca="false">AE7-AE8</f>
        <v>0</v>
      </c>
      <c r="AF9" s="17" t="n">
        <f aca="false">AF7-AF8</f>
        <v>0</v>
      </c>
      <c r="AG9" s="17" t="n">
        <f aca="false">AG7-AG8</f>
        <v>0</v>
      </c>
    </row>
    <row r="10" customFormat="false" ht="15" hidden="false" customHeight="false" outlineLevel="0" collapsed="false">
      <c r="B10" s="3" t="s">
        <v>79</v>
      </c>
      <c r="D10" s="16" t="n">
        <f aca="false">IF(D$4&lt;=Inputs!$C$16,Inputs!$C$6/Inputs!$C$16,0)*D5</f>
        <v>20</v>
      </c>
      <c r="E10" s="16" t="n">
        <f aca="false">IF(E$4&lt;=Inputs!$C$16,Inputs!$C$6/Inputs!$C$16,0)*E5</f>
        <v>20</v>
      </c>
      <c r="F10" s="16" t="n">
        <f aca="false">IF(F$4&lt;=Inputs!$C$16,Inputs!$C$6/Inputs!$C$16,0)*F5</f>
        <v>20</v>
      </c>
      <c r="G10" s="16" t="n">
        <f aca="false">IF(G$4&lt;=Inputs!$C$16,Inputs!$C$6/Inputs!$C$16,0)*G5</f>
        <v>20</v>
      </c>
      <c r="H10" s="16" t="n">
        <f aca="false">IF(H$4&lt;=Inputs!$C$16,Inputs!$C$6/Inputs!$C$16,0)*H5</f>
        <v>20</v>
      </c>
      <c r="I10" s="16" t="n">
        <f aca="false">IF(I$4&lt;=Inputs!$C$16,Inputs!$C$6/Inputs!$C$16,0)*I5</f>
        <v>20</v>
      </c>
      <c r="J10" s="16" t="n">
        <f aca="false">IF(J$4&lt;=Inputs!$C$16,Inputs!$C$6/Inputs!$C$16,0)*J5</f>
        <v>20</v>
      </c>
      <c r="K10" s="16" t="n">
        <f aca="false">IF(K$4&lt;=Inputs!$C$16,Inputs!$C$6/Inputs!$C$16,0)*K5</f>
        <v>20</v>
      </c>
      <c r="L10" s="16" t="n">
        <f aca="false">IF(L$4&lt;=Inputs!$C$16,Inputs!$C$6/Inputs!$C$16,0)*L5</f>
        <v>20</v>
      </c>
      <c r="M10" s="16" t="n">
        <f aca="false">IF(M$4&lt;=Inputs!$C$16,Inputs!$C$6/Inputs!$C$16,0)*M5</f>
        <v>20</v>
      </c>
      <c r="N10" s="16" t="n">
        <f aca="false">IF(N$4&lt;=Inputs!$C$16,Inputs!$C$6/Inputs!$C$16,0)*N5</f>
        <v>20</v>
      </c>
      <c r="O10" s="16" t="n">
        <f aca="false">IF(O$4&lt;=Inputs!$C$16,Inputs!$C$6/Inputs!$C$16,0)*O5</f>
        <v>20</v>
      </c>
      <c r="P10" s="16" t="n">
        <f aca="false">IF(P$4&lt;=Inputs!$C$16,Inputs!$C$6/Inputs!$C$16,0)*P5</f>
        <v>20</v>
      </c>
      <c r="Q10" s="16" t="n">
        <f aca="false">IF(Q$4&lt;=Inputs!$C$16,Inputs!$C$6/Inputs!$C$16,0)*Q5</f>
        <v>20</v>
      </c>
      <c r="R10" s="16" t="n">
        <f aca="false">IF(R$4&lt;=Inputs!$C$16,Inputs!$C$6/Inputs!$C$16,0)*R5</f>
        <v>20</v>
      </c>
      <c r="S10" s="16" t="n">
        <f aca="false">IF(S$4&lt;=Inputs!$C$16,Inputs!$C$6/Inputs!$C$16,0)*S5</f>
        <v>20</v>
      </c>
      <c r="T10" s="16" t="n">
        <f aca="false">IF(T$4&lt;=Inputs!$C$16,Inputs!$C$6/Inputs!$C$16,0)*T5</f>
        <v>20</v>
      </c>
      <c r="U10" s="16" t="n">
        <f aca="false">IF(U$4&lt;=Inputs!$C$16,Inputs!$C$6/Inputs!$C$16,0)*U5</f>
        <v>20</v>
      </c>
      <c r="V10" s="16" t="n">
        <f aca="false">IF(V$4&lt;=Inputs!$C$16,Inputs!$C$6/Inputs!$C$16,0)*V5</f>
        <v>20</v>
      </c>
      <c r="W10" s="16" t="n">
        <f aca="false">IF(W$4&lt;=Inputs!$C$16,Inputs!$C$6/Inputs!$C$16,0)*W5</f>
        <v>20</v>
      </c>
      <c r="X10" s="16" t="n">
        <f aca="false">IF(X$4&lt;=Inputs!$C$16,Inputs!$C$6/Inputs!$C$16,0)*X5</f>
        <v>0</v>
      </c>
      <c r="Y10" s="16" t="n">
        <f aca="false">IF(Y$4&lt;=Inputs!$C$16,Inputs!$C$6/Inputs!$C$16,0)*Y5</f>
        <v>0</v>
      </c>
      <c r="Z10" s="16" t="n">
        <f aca="false">IF(Z$4&lt;=Inputs!$C$16,Inputs!$C$6/Inputs!$C$16,0)*Z5</f>
        <v>0</v>
      </c>
      <c r="AA10" s="16" t="n">
        <f aca="false">IF(AA$4&lt;=Inputs!$C$16,Inputs!$C$6/Inputs!$C$16,0)*AA5</f>
        <v>0</v>
      </c>
      <c r="AB10" s="16" t="n">
        <f aca="false">IF(AB$4&lt;=Inputs!$C$16,Inputs!$C$6/Inputs!$C$16,0)*AB5</f>
        <v>0</v>
      </c>
      <c r="AC10" s="16" t="n">
        <f aca="false">IF(AC$4&lt;=Inputs!$C$16,Inputs!$C$6/Inputs!$C$16,0)*AC5</f>
        <v>0</v>
      </c>
      <c r="AD10" s="16" t="n">
        <f aca="false">IF(AD$4&lt;=Inputs!$C$16,Inputs!$C$6/Inputs!$C$16,0)*AD5</f>
        <v>0</v>
      </c>
      <c r="AE10" s="16" t="n">
        <f aca="false">IF(AE$4&lt;=Inputs!$C$16,Inputs!$C$6/Inputs!$C$16,0)*AE5</f>
        <v>0</v>
      </c>
      <c r="AF10" s="16" t="n">
        <f aca="false">IF(AF$4&lt;=Inputs!$C$16,Inputs!$C$6/Inputs!$C$16,0)*AF5</f>
        <v>0</v>
      </c>
      <c r="AG10" s="16" t="n">
        <f aca="false">IF(AG$4&lt;=Inputs!$C$16,Inputs!$C$6/Inputs!$C$16,0)*AG5</f>
        <v>0</v>
      </c>
    </row>
    <row r="11" customFormat="false" ht="15" hidden="false" customHeight="false" outlineLevel="0" collapsed="false">
      <c r="B11" s="3" t="s">
        <v>80</v>
      </c>
      <c r="D11" s="16" t="n">
        <f aca="false">Inputs!$C$15*MAX(0,D9-D10)</f>
        <v>7</v>
      </c>
      <c r="E11" s="16" t="n">
        <f aca="false">Inputs!$C$15*MAX(0,E9-E10)</f>
        <v>7.2225</v>
      </c>
      <c r="F11" s="16" t="n">
        <f aca="false">Inputs!$C$15*MAX(0,F9-F10)</f>
        <v>7.4490125</v>
      </c>
      <c r="G11" s="16" t="n">
        <f aca="false">Inputs!$C$15*MAX(0,G9-G10)</f>
        <v>7.6796068125</v>
      </c>
      <c r="H11" s="16" t="n">
        <f aca="false">Inputs!$C$15*MAX(0,H9-H10)</f>
        <v>7.9143533628125</v>
      </c>
      <c r="I11" s="16" t="n">
        <f aca="false">Inputs!$C$15*MAX(0,I9-I10)</f>
        <v>8.15332370448282</v>
      </c>
      <c r="J11" s="16" t="n">
        <f aca="false">Inputs!$C$15*MAX(0,J9-J10)</f>
        <v>8.39659053484689</v>
      </c>
      <c r="K11" s="16" t="n">
        <f aca="false">Inputs!$C$15*MAX(0,K9-K10)</f>
        <v>8.6442277107251</v>
      </c>
      <c r="L11" s="16" t="n">
        <f aca="false">Inputs!$C$15*MAX(0,L9-L10)</f>
        <v>8.89631026425041</v>
      </c>
      <c r="M11" s="16" t="n">
        <f aca="false">Inputs!$C$15*MAX(0,M9-M10)</f>
        <v>9.15291441882899</v>
      </c>
      <c r="N11" s="16" t="n">
        <f aca="false">Inputs!$C$15*MAX(0,N9-N10)</f>
        <v>9.41411760523149</v>
      </c>
      <c r="O11" s="16" t="n">
        <f aca="false">Inputs!$C$15*MAX(0,O9-O10)</f>
        <v>9.67999847781269</v>
      </c>
      <c r="P11" s="16" t="n">
        <f aca="false">Inputs!$C$15*MAX(0,P9-P10)</f>
        <v>9.95063693085741</v>
      </c>
      <c r="Q11" s="16" t="n">
        <f aca="false">Inputs!$C$15*MAX(0,Q9-Q10)</f>
        <v>10.2261141150503</v>
      </c>
      <c r="R11" s="16" t="n">
        <f aca="false">Inputs!$C$15*MAX(0,R9-R10)</f>
        <v>10.5065124540663</v>
      </c>
      <c r="S11" s="16" t="n">
        <f aca="false">Inputs!$C$15*MAX(0,S9-S10)</f>
        <v>10.7919156612806</v>
      </c>
      <c r="T11" s="16" t="n">
        <f aca="false">Inputs!$C$15*MAX(0,T9-T10)</f>
        <v>11.0824087565925</v>
      </c>
      <c r="U11" s="16" t="n">
        <f aca="false">Inputs!$C$15*MAX(0,U9-U10)</f>
        <v>11.3780780833628</v>
      </c>
      <c r="V11" s="16" t="n">
        <f aca="false">Inputs!$C$15*MAX(0,V9-V10)</f>
        <v>11.6790113254595</v>
      </c>
      <c r="W11" s="16" t="n">
        <f aca="false">Inputs!$C$15*MAX(0,W9-W10)</f>
        <v>11.9852975244088</v>
      </c>
      <c r="X11" s="16" t="n">
        <f aca="false">Inputs!$C$15*MAX(0,X9-X10)</f>
        <v>17.2970270966481</v>
      </c>
      <c r="Y11" s="16" t="n">
        <f aca="false">Inputs!$C$15*MAX(0,Y9-Y10)</f>
        <v>17.614291850876</v>
      </c>
      <c r="Z11" s="16" t="n">
        <f aca="false">Inputs!$C$15*MAX(0,Z9-Z10)</f>
        <v>17.9371850054958</v>
      </c>
      <c r="AA11" s="16" t="n">
        <f aca="false">Inputs!$C$15*MAX(0,AA9-AA10)</f>
        <v>18.2658012061481</v>
      </c>
      <c r="AB11" s="16" t="n">
        <f aca="false">Inputs!$C$15*MAX(0,AB9-AB10)</f>
        <v>18.600236543327</v>
      </c>
      <c r="AC11" s="16" t="n">
        <f aca="false">Inputs!$C$15*MAX(0,AC9-AC10)</f>
        <v>0</v>
      </c>
      <c r="AD11" s="16" t="n">
        <f aca="false">Inputs!$C$15*MAX(0,AD9-AD10)</f>
        <v>0</v>
      </c>
      <c r="AE11" s="16" t="n">
        <f aca="false">Inputs!$C$15*MAX(0,AE9-AE10)</f>
        <v>0</v>
      </c>
      <c r="AF11" s="16" t="n">
        <f aca="false">Inputs!$C$15*MAX(0,AF9-AF10)</f>
        <v>0</v>
      </c>
      <c r="AG11" s="16" t="n">
        <f aca="false">Inputs!$C$15*MAX(0,AG9-AG10)</f>
        <v>0</v>
      </c>
    </row>
    <row r="12" customFormat="false" ht="15" hidden="false" customHeight="false" outlineLevel="0" collapsed="false">
      <c r="B12" s="2" t="s">
        <v>81</v>
      </c>
      <c r="D12" s="17" t="n">
        <f aca="false">D9-D11</f>
        <v>41</v>
      </c>
      <c r="E12" s="17" t="n">
        <f aca="false">E9-E11</f>
        <v>41.6675</v>
      </c>
      <c r="F12" s="17" t="n">
        <f aca="false">F9-F11</f>
        <v>42.3470375</v>
      </c>
      <c r="G12" s="17" t="n">
        <f aca="false">G9-G11</f>
        <v>43.0388204375</v>
      </c>
      <c r="H12" s="17" t="n">
        <f aca="false">H9-H11</f>
        <v>43.7430600884375</v>
      </c>
      <c r="I12" s="17" t="n">
        <f aca="false">I9-I11</f>
        <v>44.4599711134485</v>
      </c>
      <c r="J12" s="17" t="n">
        <f aca="false">J9-J11</f>
        <v>45.1897716045407</v>
      </c>
      <c r="K12" s="17" t="n">
        <f aca="false">K9-K11</f>
        <v>45.9326831321753</v>
      </c>
      <c r="L12" s="17" t="n">
        <f aca="false">L9-L11</f>
        <v>46.6889307927512</v>
      </c>
      <c r="M12" s="17" t="n">
        <f aca="false">M9-M11</f>
        <v>47.458743256487</v>
      </c>
      <c r="N12" s="17" t="n">
        <f aca="false">N9-N11</f>
        <v>48.2423528156945</v>
      </c>
      <c r="O12" s="17" t="n">
        <f aca="false">O9-O11</f>
        <v>49.0399954334381</v>
      </c>
      <c r="P12" s="17" t="n">
        <f aca="false">P9-P11</f>
        <v>49.8519107925722</v>
      </c>
      <c r="Q12" s="17" t="n">
        <f aca="false">Q9-Q11</f>
        <v>50.6783423451508</v>
      </c>
      <c r="R12" s="17" t="n">
        <f aca="false">R9-R11</f>
        <v>51.519537362199</v>
      </c>
      <c r="S12" s="17" t="n">
        <f aca="false">S9-S11</f>
        <v>52.3757469838419</v>
      </c>
      <c r="T12" s="17" t="n">
        <f aca="false">T9-T11</f>
        <v>53.2472262697776</v>
      </c>
      <c r="U12" s="17" t="n">
        <f aca="false">U9-U11</f>
        <v>54.1342342500885</v>
      </c>
      <c r="V12" s="17" t="n">
        <f aca="false">V9-V11</f>
        <v>55.0370339763784</v>
      </c>
      <c r="W12" s="17" t="n">
        <f aca="false">W9-W11</f>
        <v>55.9558925732264</v>
      </c>
      <c r="X12" s="17" t="n">
        <f aca="false">X9-X11</f>
        <v>51.8910812899444</v>
      </c>
      <c r="Y12" s="17" t="n">
        <f aca="false">Y9-Y11</f>
        <v>52.842875552628</v>
      </c>
      <c r="Z12" s="17" t="n">
        <f aca="false">Z9-Z11</f>
        <v>53.8115550164874</v>
      </c>
      <c r="AA12" s="17" t="n">
        <f aca="false">AA9-AA11</f>
        <v>54.7974036184442</v>
      </c>
      <c r="AB12" s="17" t="n">
        <f aca="false">AB9-AB11</f>
        <v>55.8007096299809</v>
      </c>
      <c r="AC12" s="17" t="n">
        <f aca="false">AC9-AC11</f>
        <v>0</v>
      </c>
      <c r="AD12" s="17" t="n">
        <f aca="false">AD9-AD11</f>
        <v>0</v>
      </c>
      <c r="AE12" s="17" t="n">
        <f aca="false">AE9-AE11</f>
        <v>0</v>
      </c>
      <c r="AF12" s="17" t="n">
        <f aca="false">AF9-AF11</f>
        <v>0</v>
      </c>
      <c r="AG12" s="17" t="n">
        <f aca="false">AG9-AG11</f>
        <v>0</v>
      </c>
    </row>
    <row r="13" customFormat="false" ht="15" hidden="false" customHeight="false" outlineLevel="0" collapsed="false">
      <c r="B13" s="3" t="s">
        <v>82</v>
      </c>
      <c r="D13" s="19" t="n">
        <f aca="false">1/(1+Inputs!$C$17)^D$4</f>
        <v>0.943396226415094</v>
      </c>
      <c r="E13" s="19" t="n">
        <f aca="false">1/(1+Inputs!$C$17)^E$4</f>
        <v>0.88999644001424</v>
      </c>
      <c r="F13" s="19" t="n">
        <f aca="false">1/(1+Inputs!$C$17)^F$4</f>
        <v>0.839619283032302</v>
      </c>
      <c r="G13" s="19" t="n">
        <f aca="false">1/(1+Inputs!$C$17)^G$4</f>
        <v>0.79209366323802</v>
      </c>
      <c r="H13" s="19" t="n">
        <f aca="false">1/(1+Inputs!$C$17)^H$4</f>
        <v>0.747258172866057</v>
      </c>
      <c r="I13" s="19" t="n">
        <f aca="false">1/(1+Inputs!$C$17)^I$4</f>
        <v>0.704960540439676</v>
      </c>
      <c r="J13" s="19" t="n">
        <f aca="false">1/(1+Inputs!$C$17)^J$4</f>
        <v>0.665057113622336</v>
      </c>
      <c r="K13" s="19" t="n">
        <f aca="false">1/(1+Inputs!$C$17)^K$4</f>
        <v>0.627412371341827</v>
      </c>
      <c r="L13" s="19" t="n">
        <f aca="false">1/(1+Inputs!$C$17)^L$4</f>
        <v>0.591898463530025</v>
      </c>
      <c r="M13" s="19" t="n">
        <f aca="false">1/(1+Inputs!$C$17)^M$4</f>
        <v>0.558394776915118</v>
      </c>
      <c r="N13" s="19" t="n">
        <f aca="false">1/(1+Inputs!$C$17)^N$4</f>
        <v>0.526787525391621</v>
      </c>
      <c r="O13" s="19" t="n">
        <f aca="false">1/(1+Inputs!$C$17)^O$4</f>
        <v>0.496969363577001</v>
      </c>
      <c r="P13" s="19" t="n">
        <f aca="false">1/(1+Inputs!$C$17)^P$4</f>
        <v>0.468839022242453</v>
      </c>
      <c r="Q13" s="19" t="n">
        <f aca="false">1/(1+Inputs!$C$17)^Q$4</f>
        <v>0.442300964379673</v>
      </c>
      <c r="R13" s="19" t="n">
        <f aca="false">1/(1+Inputs!$C$17)^R$4</f>
        <v>0.417265060735541</v>
      </c>
      <c r="S13" s="19" t="n">
        <f aca="false">1/(1+Inputs!$C$17)^S$4</f>
        <v>0.393646283712774</v>
      </c>
      <c r="T13" s="19" t="n">
        <f aca="false">1/(1+Inputs!$C$17)^T$4</f>
        <v>0.371364418596957</v>
      </c>
      <c r="U13" s="19" t="n">
        <f aca="false">1/(1+Inputs!$C$17)^U$4</f>
        <v>0.350343791129204</v>
      </c>
      <c r="V13" s="19" t="n">
        <f aca="false">1/(1+Inputs!$C$17)^V$4</f>
        <v>0.330513010499249</v>
      </c>
      <c r="W13" s="19" t="n">
        <f aca="false">1/(1+Inputs!$C$17)^W$4</f>
        <v>0.311804726886084</v>
      </c>
      <c r="X13" s="19" t="n">
        <f aca="false">1/(1+Inputs!$C$17)^X$4</f>
        <v>0.294155402722721</v>
      </c>
      <c r="Y13" s="19" t="n">
        <f aca="false">1/(1+Inputs!$C$17)^Y$4</f>
        <v>0.277505096908227</v>
      </c>
      <c r="Z13" s="19" t="n">
        <f aca="false">1/(1+Inputs!$C$17)^Z$4</f>
        <v>0.261797261234177</v>
      </c>
      <c r="AA13" s="19" t="n">
        <f aca="false">1/(1+Inputs!$C$17)^AA$4</f>
        <v>0.246978548334129</v>
      </c>
      <c r="AB13" s="19" t="n">
        <f aca="false">1/(1+Inputs!$C$17)^AB$4</f>
        <v>0.232998630503895</v>
      </c>
      <c r="AC13" s="19" t="n">
        <f aca="false">1/(1+Inputs!$C$17)^AC$4</f>
        <v>0.21981002877726</v>
      </c>
      <c r="AD13" s="19" t="n">
        <f aca="false">1/(1+Inputs!$C$17)^AD$4</f>
        <v>0.20736795167666</v>
      </c>
      <c r="AE13" s="19" t="n">
        <f aca="false">1/(1+Inputs!$C$17)^AE$4</f>
        <v>0.195630143091189</v>
      </c>
      <c r="AF13" s="19" t="n">
        <f aca="false">1/(1+Inputs!$C$17)^AF$4</f>
        <v>0.184556738765272</v>
      </c>
      <c r="AG13" s="19" t="n">
        <f aca="false">1/(1+Inputs!$C$17)^AG$4</f>
        <v>0.174110130910634</v>
      </c>
    </row>
    <row r="14" customFormat="false" ht="15" hidden="false" customHeight="false" outlineLevel="0" collapsed="false">
      <c r="B14" s="3" t="s">
        <v>83</v>
      </c>
      <c r="D14" s="19" t="n">
        <f aca="false">1/(1+Inputs!$C$17)^(D$4-1)</f>
        <v>1</v>
      </c>
      <c r="E14" s="19" t="n">
        <f aca="false">1/(1+Inputs!$C$17)^(E$4-1)</f>
        <v>0.943396226415094</v>
      </c>
      <c r="F14" s="19" t="n">
        <f aca="false">1/(1+Inputs!$C$17)^(F$4-1)</f>
        <v>0.88999644001424</v>
      </c>
      <c r="G14" s="19" t="n">
        <f aca="false">1/(1+Inputs!$C$17)^(G$4-1)</f>
        <v>0.839619283032302</v>
      </c>
      <c r="H14" s="19" t="n">
        <f aca="false">1/(1+Inputs!$C$17)^(H$4-1)</f>
        <v>0.79209366323802</v>
      </c>
      <c r="I14" s="19" t="n">
        <f aca="false">1/(1+Inputs!$C$17)^(I$4-1)</f>
        <v>0.747258172866057</v>
      </c>
      <c r="J14" s="19" t="n">
        <f aca="false">1/(1+Inputs!$C$17)^(J$4-1)</f>
        <v>0.704960540439676</v>
      </c>
      <c r="K14" s="19" t="n">
        <f aca="false">1/(1+Inputs!$C$17)^(K$4-1)</f>
        <v>0.665057113622336</v>
      </c>
      <c r="L14" s="19" t="n">
        <f aca="false">1/(1+Inputs!$C$17)^(L$4-1)</f>
        <v>0.627412371341827</v>
      </c>
      <c r="M14" s="19" t="n">
        <f aca="false">1/(1+Inputs!$C$17)^(M$4-1)</f>
        <v>0.591898463530025</v>
      </c>
      <c r="N14" s="19" t="n">
        <f aca="false">1/(1+Inputs!$C$17)^(N$4-1)</f>
        <v>0.558394776915118</v>
      </c>
      <c r="O14" s="19" t="n">
        <f aca="false">1/(1+Inputs!$C$17)^(O$4-1)</f>
        <v>0.526787525391621</v>
      </c>
      <c r="P14" s="19" t="n">
        <f aca="false">1/(1+Inputs!$C$17)^(P$4-1)</f>
        <v>0.496969363577001</v>
      </c>
      <c r="Q14" s="19" t="n">
        <f aca="false">1/(1+Inputs!$C$17)^(Q$4-1)</f>
        <v>0.468839022242453</v>
      </c>
      <c r="R14" s="19" t="n">
        <f aca="false">1/(1+Inputs!$C$17)^(R$4-1)</f>
        <v>0.442300964379673</v>
      </c>
      <c r="S14" s="19" t="n">
        <f aca="false">1/(1+Inputs!$C$17)^(S$4-1)</f>
        <v>0.417265060735541</v>
      </c>
      <c r="T14" s="19" t="n">
        <f aca="false">1/(1+Inputs!$C$17)^(T$4-1)</f>
        <v>0.393646283712774</v>
      </c>
      <c r="U14" s="19" t="n">
        <f aca="false">1/(1+Inputs!$C$17)^(U$4-1)</f>
        <v>0.371364418596957</v>
      </c>
      <c r="V14" s="19" t="n">
        <f aca="false">1/(1+Inputs!$C$17)^(V$4-1)</f>
        <v>0.350343791129204</v>
      </c>
      <c r="W14" s="19" t="n">
        <f aca="false">1/(1+Inputs!$C$17)^(W$4-1)</f>
        <v>0.330513010499249</v>
      </c>
      <c r="X14" s="19" t="n">
        <f aca="false">1/(1+Inputs!$C$17)^(X$4-1)</f>
        <v>0.311804726886084</v>
      </c>
      <c r="Y14" s="19" t="n">
        <f aca="false">1/(1+Inputs!$C$17)^(Y$4-1)</f>
        <v>0.294155402722721</v>
      </c>
      <c r="Z14" s="19" t="n">
        <f aca="false">1/(1+Inputs!$C$17)^(Z$4-1)</f>
        <v>0.277505096908227</v>
      </c>
      <c r="AA14" s="19" t="n">
        <f aca="false">1/(1+Inputs!$C$17)^(AA$4-1)</f>
        <v>0.261797261234177</v>
      </c>
      <c r="AB14" s="19" t="n">
        <f aca="false">1/(1+Inputs!$C$17)^(AB$4-1)</f>
        <v>0.246978548334129</v>
      </c>
      <c r="AC14" s="19" t="n">
        <f aca="false">1/(1+Inputs!$C$17)^(AC$4-1)</f>
        <v>0.232998630503895</v>
      </c>
      <c r="AD14" s="19" t="n">
        <f aca="false">1/(1+Inputs!$C$17)^(AD$4-1)</f>
        <v>0.21981002877726</v>
      </c>
      <c r="AE14" s="19" t="n">
        <f aca="false">1/(1+Inputs!$C$17)^(AE$4-1)</f>
        <v>0.20736795167666</v>
      </c>
      <c r="AF14" s="19" t="n">
        <f aca="false">1/(1+Inputs!$C$17)^(AF$4-1)</f>
        <v>0.195630143091189</v>
      </c>
      <c r="AG14" s="19" t="n">
        <f aca="false">1/(1+Inputs!$C$17)^(AG$4-1)</f>
        <v>0.184556738765272</v>
      </c>
    </row>
    <row r="16" customFormat="false" ht="15" hidden="false" customHeight="false" outlineLevel="0" collapsed="false">
      <c r="B16" s="2" t="s">
        <v>84</v>
      </c>
      <c r="D16" s="17" t="n">
        <f aca="false">D6*D12/$C$34</f>
        <v>30.3703703703704</v>
      </c>
      <c r="E16" s="17" t="n">
        <f aca="false">E6*E12/$C$34</f>
        <v>30.8648148148148</v>
      </c>
      <c r="F16" s="17" t="n">
        <f aca="false">F6*F12/$C$34</f>
        <v>31.3681759259259</v>
      </c>
      <c r="G16" s="17" t="n">
        <f aca="false">G6*G12/$C$34</f>
        <v>31.8806077314815</v>
      </c>
      <c r="H16" s="17" t="n">
        <f aca="false">H6*H12/$C$34</f>
        <v>32.4022667321759</v>
      </c>
      <c r="I16" s="17" t="n">
        <f aca="false">I6*I12/$C$34</f>
        <v>32.9333119358877</v>
      </c>
      <c r="J16" s="17" t="n">
        <f aca="false">J6*J12/$C$34</f>
        <v>33.4739048922523</v>
      </c>
      <c r="K16" s="17" t="n">
        <f aca="false">K6*K12/$C$34</f>
        <v>34.0242097275373</v>
      </c>
      <c r="L16" s="17" t="n">
        <f aca="false">L6*L12/$C$34</f>
        <v>34.5843931798157</v>
      </c>
      <c r="M16" s="17" t="n">
        <f aca="false">M6*M12/$C$34</f>
        <v>35.1546246344348</v>
      </c>
      <c r="N16" s="17" t="n">
        <f aca="false">N6*N12/$C$34</f>
        <v>35.7350761597737</v>
      </c>
      <c r="O16" s="17" t="n">
        <f aca="false">O6*O12/$C$34</f>
        <v>36.3259225432874</v>
      </c>
      <c r="P16" s="17" t="n">
        <f aca="false">P6*P12/$C$34</f>
        <v>36.9273413278313</v>
      </c>
      <c r="Q16" s="17" t="n">
        <f aca="false">Q6*Q12/$C$34</f>
        <v>37.5395128482598</v>
      </c>
      <c r="R16" s="17" t="n">
        <f aca="false">R6*R12/$C$34</f>
        <v>38.1626202682956</v>
      </c>
      <c r="S16" s="17" t="n">
        <f aca="false">S6*S12/$C$34</f>
        <v>38.7968496176607</v>
      </c>
      <c r="T16" s="17" t="n">
        <f aca="false">T6*T12/$C$34</f>
        <v>39.4423898294649</v>
      </c>
      <c r="U16" s="17" t="n">
        <f aca="false">U6*U12/$C$34</f>
        <v>40.0994327778433</v>
      </c>
      <c r="V16" s="17" t="n">
        <f aca="false">V6*V12/$C$34</f>
        <v>0</v>
      </c>
      <c r="W16" s="17" t="n">
        <f aca="false">W6*W12/$C$34</f>
        <v>0</v>
      </c>
      <c r="X16" s="17" t="n">
        <f aca="false">X6*X12/$C$34</f>
        <v>0</v>
      </c>
      <c r="Y16" s="17" t="n">
        <f aca="false">Y6*Y12/$C$34</f>
        <v>0</v>
      </c>
      <c r="Z16" s="17" t="n">
        <f aca="false">Z6*Z12/$C$34</f>
        <v>0</v>
      </c>
      <c r="AA16" s="17" t="n">
        <f aca="false">AA6*AA12/$C$34</f>
        <v>0</v>
      </c>
      <c r="AB16" s="17" t="n">
        <f aca="false">AB6*AB12/$C$34</f>
        <v>0</v>
      </c>
      <c r="AC16" s="17" t="n">
        <f aca="false">AC6*AC12/$C$34</f>
        <v>0</v>
      </c>
      <c r="AD16" s="17" t="n">
        <f aca="false">AD6*AD12/$C$34</f>
        <v>0</v>
      </c>
      <c r="AE16" s="17" t="n">
        <f aca="false">AE6*AE12/$C$34</f>
        <v>0</v>
      </c>
      <c r="AF16" s="17" t="n">
        <f aca="false">AF6*AF12/$C$34</f>
        <v>0</v>
      </c>
      <c r="AG16" s="17" t="n">
        <f aca="false">AG6*AG12/$C$34</f>
        <v>0</v>
      </c>
    </row>
    <row r="17" customFormat="false" ht="15" hidden="false" customHeight="false" outlineLevel="0" collapsed="false">
      <c r="B17" s="3" t="s">
        <v>85</v>
      </c>
      <c r="D17" s="16" t="n">
        <f aca="false">Construction!$C$17</f>
        <v>369.536697002486</v>
      </c>
      <c r="E17" s="17" t="n">
        <f aca="false">D20</f>
        <v>361.338528452265</v>
      </c>
      <c r="F17" s="17" t="n">
        <f aca="false">E20</f>
        <v>352.154025344586</v>
      </c>
      <c r="G17" s="17" t="n">
        <f aca="false">F20</f>
        <v>341.915090939336</v>
      </c>
      <c r="H17" s="17" t="n">
        <f aca="false">G20</f>
        <v>330.549388664214</v>
      </c>
      <c r="I17" s="17" t="n">
        <f aca="false">H20</f>
        <v>317.980085251891</v>
      </c>
      <c r="J17" s="17" t="n">
        <f aca="false">I20</f>
        <v>304.125578431117</v>
      </c>
      <c r="K17" s="17" t="n">
        <f aca="false">J20</f>
        <v>288.899208244732</v>
      </c>
      <c r="L17" s="17" t="n">
        <f aca="false">K20</f>
        <v>272.208951011878</v>
      </c>
      <c r="M17" s="17" t="n">
        <f aca="false">L20</f>
        <v>253.957094892775</v>
      </c>
      <c r="N17" s="17" t="n">
        <f aca="false">M20</f>
        <v>234.039895951907</v>
      </c>
      <c r="O17" s="17" t="n">
        <f aca="false">N20</f>
        <v>212.347213549248</v>
      </c>
      <c r="P17" s="17" t="n">
        <f aca="false">O20</f>
        <v>188.762123818915</v>
      </c>
      <c r="Q17" s="17" t="n">
        <f aca="false">P20</f>
        <v>163.160509920219</v>
      </c>
      <c r="R17" s="17" t="n">
        <f aca="false">Q20</f>
        <v>135.410627667172</v>
      </c>
      <c r="S17" s="17" t="n">
        <f aca="false">R20</f>
        <v>105.372645058907</v>
      </c>
      <c r="T17" s="17" t="n">
        <f aca="false">S20</f>
        <v>72.8981541447806</v>
      </c>
      <c r="U17" s="17" t="n">
        <f aca="false">T20</f>
        <v>37.8296535640025</v>
      </c>
      <c r="V17" s="17" t="n">
        <f aca="false">U20</f>
        <v>-6.11066752753686E-013</v>
      </c>
      <c r="W17" s="17" t="n">
        <f aca="false">V20</f>
        <v>-6.11066752753686E-013</v>
      </c>
      <c r="X17" s="17" t="n">
        <f aca="false">W20</f>
        <v>-6.11066752753686E-013</v>
      </c>
      <c r="Y17" s="17" t="n">
        <f aca="false">X20</f>
        <v>-6.11066752753686E-013</v>
      </c>
      <c r="Z17" s="17" t="n">
        <f aca="false">Y20</f>
        <v>-6.11066752753686E-013</v>
      </c>
      <c r="AA17" s="17" t="n">
        <f aca="false">Z20</f>
        <v>-6.11066752753686E-013</v>
      </c>
      <c r="AB17" s="17" t="n">
        <f aca="false">AA20</f>
        <v>-6.11066752753686E-013</v>
      </c>
      <c r="AC17" s="17" t="n">
        <f aca="false">AB20</f>
        <v>-6.11066752753686E-013</v>
      </c>
      <c r="AD17" s="17" t="n">
        <f aca="false">AC20</f>
        <v>-6.11066752753686E-013</v>
      </c>
      <c r="AE17" s="17" t="n">
        <f aca="false">AD20</f>
        <v>-6.11066752753686E-013</v>
      </c>
      <c r="AF17" s="17" t="n">
        <f aca="false">AE20</f>
        <v>-6.11066752753686E-013</v>
      </c>
      <c r="AG17" s="17" t="n">
        <f aca="false">AF20</f>
        <v>-6.11066752753686E-013</v>
      </c>
    </row>
    <row r="18" customFormat="false" ht="15" hidden="false" customHeight="false" outlineLevel="0" collapsed="false">
      <c r="B18" s="3" t="s">
        <v>86</v>
      </c>
      <c r="D18" s="16" t="n">
        <f aca="false">Inputs!$C$17*D17*D6</f>
        <v>22.1722018201492</v>
      </c>
      <c r="E18" s="16" t="n">
        <f aca="false">Inputs!$C$17*E17*E6</f>
        <v>21.6803117071359</v>
      </c>
      <c r="F18" s="16" t="n">
        <f aca="false">Inputs!$C$17*F17*F6</f>
        <v>21.1292415206752</v>
      </c>
      <c r="G18" s="16" t="n">
        <f aca="false">Inputs!$C$17*G17*G6</f>
        <v>20.5149054563601</v>
      </c>
      <c r="H18" s="16" t="n">
        <f aca="false">Inputs!$C$17*H17*H6</f>
        <v>19.8329633198529</v>
      </c>
      <c r="I18" s="16" t="n">
        <f aca="false">Inputs!$C$17*I17*I6</f>
        <v>19.0788051151135</v>
      </c>
      <c r="J18" s="16" t="n">
        <f aca="false">Inputs!$C$17*J17*J6</f>
        <v>18.247534705867</v>
      </c>
      <c r="K18" s="16" t="n">
        <f aca="false">Inputs!$C$17*K17*K6</f>
        <v>17.3339524946839</v>
      </c>
      <c r="L18" s="16" t="n">
        <f aca="false">Inputs!$C$17*L17*L6</f>
        <v>16.3325370607127</v>
      </c>
      <c r="M18" s="16" t="n">
        <f aca="false">Inputs!$C$17*M17*M6</f>
        <v>15.2374256935665</v>
      </c>
      <c r="N18" s="16" t="n">
        <f aca="false">Inputs!$C$17*N17*N6</f>
        <v>14.0423937571144</v>
      </c>
      <c r="O18" s="16" t="n">
        <f aca="false">Inputs!$C$17*O17*O6</f>
        <v>12.7408328129549</v>
      </c>
      <c r="P18" s="16" t="n">
        <f aca="false">Inputs!$C$17*P17*P6</f>
        <v>11.3257274291349</v>
      </c>
      <c r="Q18" s="16" t="n">
        <f aca="false">Inputs!$C$17*Q17*Q6</f>
        <v>9.78963059521313</v>
      </c>
      <c r="R18" s="16" t="n">
        <f aca="false">Inputs!$C$17*R17*R6</f>
        <v>8.12463766003032</v>
      </c>
      <c r="S18" s="16" t="n">
        <f aca="false">Inputs!$C$17*S17*S6</f>
        <v>6.32235870353441</v>
      </c>
      <c r="T18" s="16" t="n">
        <f aca="false">Inputs!$C$17*T17*T6</f>
        <v>4.37388924868683</v>
      </c>
      <c r="U18" s="16" t="n">
        <f aca="false">Inputs!$C$17*U17*U6</f>
        <v>2.26977921384015</v>
      </c>
      <c r="V18" s="16" t="n">
        <f aca="false">Inputs!$C$17*V17*V6</f>
        <v>-0</v>
      </c>
      <c r="W18" s="16" t="n">
        <f aca="false">Inputs!$C$17*W17*W6</f>
        <v>-0</v>
      </c>
      <c r="X18" s="16" t="n">
        <f aca="false">Inputs!$C$17*X17*X6</f>
        <v>-0</v>
      </c>
      <c r="Y18" s="16" t="n">
        <f aca="false">Inputs!$C$17*Y17*Y6</f>
        <v>-0</v>
      </c>
      <c r="Z18" s="16" t="n">
        <f aca="false">Inputs!$C$17*Z17*Z6</f>
        <v>-0</v>
      </c>
      <c r="AA18" s="16" t="n">
        <f aca="false">Inputs!$C$17*AA17*AA6</f>
        <v>-0</v>
      </c>
      <c r="AB18" s="16" t="n">
        <f aca="false">Inputs!$C$17*AB17*AB6</f>
        <v>-0</v>
      </c>
      <c r="AC18" s="16" t="n">
        <f aca="false">Inputs!$C$17*AC17*AC6</f>
        <v>-0</v>
      </c>
      <c r="AD18" s="16" t="n">
        <f aca="false">Inputs!$C$17*AD17*AD6</f>
        <v>-0</v>
      </c>
      <c r="AE18" s="16" t="n">
        <f aca="false">Inputs!$C$17*AE17*AE6</f>
        <v>-0</v>
      </c>
      <c r="AF18" s="16" t="n">
        <f aca="false">Inputs!$C$17*AF17*AF6</f>
        <v>-0</v>
      </c>
      <c r="AG18" s="16" t="n">
        <f aca="false">Inputs!$C$17*AG17*AG6</f>
        <v>-0</v>
      </c>
    </row>
    <row r="19" customFormat="false" ht="15" hidden="false" customHeight="false" outlineLevel="0" collapsed="false">
      <c r="B19" s="3" t="s">
        <v>87</v>
      </c>
      <c r="D19" s="17" t="n">
        <f aca="false">D16-D18</f>
        <v>8.19816855022118</v>
      </c>
      <c r="E19" s="17" t="n">
        <f aca="false">E16-E18</f>
        <v>9.1845031076789</v>
      </c>
      <c r="F19" s="17" t="n">
        <f aca="false">F16-F18</f>
        <v>10.2389344052507</v>
      </c>
      <c r="G19" s="17" t="n">
        <f aca="false">G16-G18</f>
        <v>11.3657022751214</v>
      </c>
      <c r="H19" s="17" t="n">
        <f aca="false">H16-H18</f>
        <v>12.5693034123231</v>
      </c>
      <c r="I19" s="17" t="n">
        <f aca="false">I16-I18</f>
        <v>13.8545068207743</v>
      </c>
      <c r="J19" s="17" t="n">
        <f aca="false">J16-J18</f>
        <v>15.2263701863853</v>
      </c>
      <c r="K19" s="17" t="n">
        <f aca="false">K16-K18</f>
        <v>16.6902572328534</v>
      </c>
      <c r="L19" s="17" t="n">
        <f aca="false">L16-L18</f>
        <v>18.251856119103</v>
      </c>
      <c r="M19" s="17" t="n">
        <f aca="false">M16-M18</f>
        <v>19.9171989408683</v>
      </c>
      <c r="N19" s="17" t="n">
        <f aca="false">N16-N18</f>
        <v>21.6926824026593</v>
      </c>
      <c r="O19" s="17" t="n">
        <f aca="false">O16-O18</f>
        <v>23.5850897303326</v>
      </c>
      <c r="P19" s="17" t="n">
        <f aca="false">P16-P18</f>
        <v>25.6016138986964</v>
      </c>
      <c r="Q19" s="17" t="n">
        <f aca="false">Q16-Q18</f>
        <v>27.7498822530467</v>
      </c>
      <c r="R19" s="17" t="n">
        <f aca="false">R16-R18</f>
        <v>30.0379826082652</v>
      </c>
      <c r="S19" s="17" t="n">
        <f aca="false">S16-S18</f>
        <v>32.4744909141263</v>
      </c>
      <c r="T19" s="17" t="n">
        <f aca="false">T16-T18</f>
        <v>35.068500580778</v>
      </c>
      <c r="U19" s="17" t="n">
        <f aca="false">U16-U18</f>
        <v>37.8296535640031</v>
      </c>
      <c r="V19" s="17" t="n">
        <f aca="false">V16-V18</f>
        <v>0</v>
      </c>
      <c r="W19" s="17" t="n">
        <f aca="false">W16-W18</f>
        <v>0</v>
      </c>
      <c r="X19" s="17" t="n">
        <f aca="false">X16-X18</f>
        <v>0</v>
      </c>
      <c r="Y19" s="17" t="n">
        <f aca="false">Y16-Y18</f>
        <v>0</v>
      </c>
      <c r="Z19" s="17" t="n">
        <f aca="false">Z16-Z18</f>
        <v>0</v>
      </c>
      <c r="AA19" s="17" t="n">
        <f aca="false">AA16-AA18</f>
        <v>0</v>
      </c>
      <c r="AB19" s="17" t="n">
        <f aca="false">AB16-AB18</f>
        <v>0</v>
      </c>
      <c r="AC19" s="17" t="n">
        <f aca="false">AC16-AC18</f>
        <v>0</v>
      </c>
      <c r="AD19" s="17" t="n">
        <f aca="false">AD16-AD18</f>
        <v>0</v>
      </c>
      <c r="AE19" s="17" t="n">
        <f aca="false">AE16-AE18</f>
        <v>0</v>
      </c>
      <c r="AF19" s="17" t="n">
        <f aca="false">AF16-AF18</f>
        <v>0</v>
      </c>
      <c r="AG19" s="17" t="n">
        <f aca="false">AG16-AG18</f>
        <v>0</v>
      </c>
    </row>
    <row r="20" customFormat="false" ht="15" hidden="false" customHeight="false" outlineLevel="0" collapsed="false">
      <c r="B20" s="3" t="s">
        <v>88</v>
      </c>
      <c r="D20" s="17" t="n">
        <f aca="false">D17-D19</f>
        <v>361.338528452265</v>
      </c>
      <c r="E20" s="17" t="n">
        <f aca="false">E17-E19</f>
        <v>352.154025344586</v>
      </c>
      <c r="F20" s="17" t="n">
        <f aca="false">F17-F19</f>
        <v>341.915090939336</v>
      </c>
      <c r="G20" s="17" t="n">
        <f aca="false">G17-G19</f>
        <v>330.549388664214</v>
      </c>
      <c r="H20" s="17" t="n">
        <f aca="false">H17-H19</f>
        <v>317.980085251891</v>
      </c>
      <c r="I20" s="17" t="n">
        <f aca="false">I17-I19</f>
        <v>304.125578431117</v>
      </c>
      <c r="J20" s="17" t="n">
        <f aca="false">J17-J19</f>
        <v>288.899208244732</v>
      </c>
      <c r="K20" s="17" t="n">
        <f aca="false">K17-K19</f>
        <v>272.208951011878</v>
      </c>
      <c r="L20" s="17" t="n">
        <f aca="false">L17-L19</f>
        <v>253.957094892775</v>
      </c>
      <c r="M20" s="17" t="n">
        <f aca="false">M17-M19</f>
        <v>234.039895951907</v>
      </c>
      <c r="N20" s="17" t="n">
        <f aca="false">N17-N19</f>
        <v>212.347213549248</v>
      </c>
      <c r="O20" s="17" t="n">
        <f aca="false">O17-O19</f>
        <v>188.762123818915</v>
      </c>
      <c r="P20" s="17" t="n">
        <f aca="false">P17-P19</f>
        <v>163.160509920219</v>
      </c>
      <c r="Q20" s="17" t="n">
        <f aca="false">Q17-Q19</f>
        <v>135.410627667172</v>
      </c>
      <c r="R20" s="17" t="n">
        <f aca="false">R17-R19</f>
        <v>105.372645058907</v>
      </c>
      <c r="S20" s="17" t="n">
        <f aca="false">S17-S19</f>
        <v>72.8981541447806</v>
      </c>
      <c r="T20" s="17" t="n">
        <f aca="false">T17-T19</f>
        <v>37.8296535640025</v>
      </c>
      <c r="U20" s="17" t="n">
        <f aca="false">U17-U19</f>
        <v>-6.11066752753686E-013</v>
      </c>
      <c r="V20" s="17" t="n">
        <f aca="false">V17-V19</f>
        <v>-6.11066752753686E-013</v>
      </c>
      <c r="W20" s="17" t="n">
        <f aca="false">W17-W19</f>
        <v>-6.11066752753686E-013</v>
      </c>
      <c r="X20" s="17" t="n">
        <f aca="false">X17-X19</f>
        <v>-6.11066752753686E-013</v>
      </c>
      <c r="Y20" s="17" t="n">
        <f aca="false">Y17-Y19</f>
        <v>-6.11066752753686E-013</v>
      </c>
      <c r="Z20" s="17" t="n">
        <f aca="false">Z17-Z19</f>
        <v>-6.11066752753686E-013</v>
      </c>
      <c r="AA20" s="17" t="n">
        <f aca="false">AA17-AA19</f>
        <v>-6.11066752753686E-013</v>
      </c>
      <c r="AB20" s="17" t="n">
        <f aca="false">AB17-AB19</f>
        <v>-6.11066752753686E-013</v>
      </c>
      <c r="AC20" s="17" t="n">
        <f aca="false">AC17-AC19</f>
        <v>-6.11066752753686E-013</v>
      </c>
      <c r="AD20" s="17" t="n">
        <f aca="false">AD17-AD19</f>
        <v>-6.11066752753686E-013</v>
      </c>
      <c r="AE20" s="17" t="n">
        <f aca="false">AE17-AE19</f>
        <v>-6.11066752753686E-013</v>
      </c>
      <c r="AF20" s="17" t="n">
        <f aca="false">AF17-AF19</f>
        <v>-6.11066752753686E-013</v>
      </c>
      <c r="AG20" s="17" t="n">
        <f aca="false">AG17-AG19</f>
        <v>-6.11066752753686E-013</v>
      </c>
    </row>
    <row r="22" customFormat="false" ht="15" hidden="false" customHeight="false" outlineLevel="0" collapsed="false">
      <c r="B22" s="3" t="s">
        <v>89</v>
      </c>
      <c r="D22" s="20" t="n">
        <f aca="false">IF(D6=1,SUMPRODUCT(D12:$AG$12,D13:$AG$13,D6:$AG$6)/D14/D17,0)</f>
        <v>1.35</v>
      </c>
      <c r="E22" s="20" t="n">
        <f aca="false">IF(E6=1,SUMPRODUCT(E12:$AG$12,E13:$AG$13,E6:$AG$6)/E14/E17,0)</f>
        <v>1.35</v>
      </c>
      <c r="F22" s="20" t="n">
        <f aca="false">IF(F6=1,SUMPRODUCT(F12:$AG$12,F13:$AG$13,F6:$AG$6)/F14/F17,0)</f>
        <v>1.35</v>
      </c>
      <c r="G22" s="20" t="n">
        <f aca="false">IF(G6=1,SUMPRODUCT(G12:$AG$12,G13:$AG$13,G6:$AG$6)/G14/G17,0)</f>
        <v>1.35</v>
      </c>
      <c r="H22" s="20" t="n">
        <f aca="false">IF(H6=1,SUMPRODUCT(H12:$AG$12,H13:$AG$13,H6:$AG$6)/H14/H17,0)</f>
        <v>1.35</v>
      </c>
      <c r="I22" s="20" t="n">
        <f aca="false">IF(I6=1,SUMPRODUCT(I12:$AG$12,I13:$AG$13,I6:$AG$6)/I14/I17,0)</f>
        <v>1.35</v>
      </c>
      <c r="J22" s="20" t="n">
        <f aca="false">IF(J6=1,SUMPRODUCT(J12:$AG$12,J13:$AG$13,J6:$AG$6)/J14/J17,0)</f>
        <v>1.35</v>
      </c>
      <c r="K22" s="20" t="n">
        <f aca="false">IF(K6=1,SUMPRODUCT(K12:$AG$12,K13:$AG$13,K6:$AG$6)/K14/K17,0)</f>
        <v>1.35</v>
      </c>
      <c r="L22" s="20" t="n">
        <f aca="false">IF(L6=1,SUMPRODUCT(L12:$AG$12,L13:$AG$13,L6:$AG$6)/L14/L17,0)</f>
        <v>1.35</v>
      </c>
      <c r="M22" s="20" t="n">
        <f aca="false">IF(M6=1,SUMPRODUCT(M12:$AG$12,M13:$AG$13,M6:$AG$6)/M14/M17,0)</f>
        <v>1.35</v>
      </c>
      <c r="N22" s="20" t="n">
        <f aca="false">IF(N6=1,SUMPRODUCT(N12:$AG$12,N13:$AG$13,N6:$AG$6)/N14/N17,0)</f>
        <v>1.35</v>
      </c>
      <c r="O22" s="20" t="n">
        <f aca="false">IF(O6=1,SUMPRODUCT(O12:$AG$12,O13:$AG$13,O6:$AG$6)/O14/O17,0)</f>
        <v>1.35</v>
      </c>
      <c r="P22" s="20" t="n">
        <f aca="false">IF(P6=1,SUMPRODUCT(P12:$AG$12,P13:$AG$13,P6:$AG$6)/P14/P17,0)</f>
        <v>1.35</v>
      </c>
      <c r="Q22" s="20" t="n">
        <f aca="false">IF(Q6=1,SUMPRODUCT(Q12:$AG$12,Q13:$AG$13,Q6:$AG$6)/Q14/Q17,0)</f>
        <v>1.35</v>
      </c>
      <c r="R22" s="20" t="n">
        <f aca="false">IF(R6=1,SUMPRODUCT(R12:$AG$12,R13:$AG$13,R6:$AG$6)/R14/R17,0)</f>
        <v>1.35</v>
      </c>
      <c r="S22" s="20" t="n">
        <f aca="false">IF(S6=1,SUMPRODUCT(S12:$AG$12,S13:$AG$13,S6:$AG$6)/S14/S17,0)</f>
        <v>1.35000000000001</v>
      </c>
      <c r="T22" s="20" t="n">
        <f aca="false">IF(T6=1,SUMPRODUCT(T12:$AG$12,T13:$AG$13,T6:$AG$6)/T14/T17,0)</f>
        <v>1.35000000000001</v>
      </c>
      <c r="U22" s="20" t="n">
        <f aca="false">IF(U6=1,SUMPRODUCT(U12:$AG$12,U13:$AG$13,U6:$AG$6)/U14/U17,0)</f>
        <v>1.35000000000002</v>
      </c>
      <c r="V22" s="20" t="n">
        <f aca="false">IF(V6=1,SUMPRODUCT(V12:$AG$12,V13:$AG$13,V6:$AG$6)/V14/V17,0)</f>
        <v>0</v>
      </c>
      <c r="W22" s="20" t="n">
        <f aca="false">IF(W6=1,SUMPRODUCT(W12:$AG$12,W13:$AG$13,W6:$AG$6)/W14/W17,0)</f>
        <v>0</v>
      </c>
      <c r="X22" s="20" t="n">
        <f aca="false">IF(X6=1,SUMPRODUCT(X12:$AG$12,X13:$AG$13,X6:$AG$6)/X14/X17,0)</f>
        <v>0</v>
      </c>
      <c r="Y22" s="20" t="n">
        <f aca="false">IF(Y6=1,SUMPRODUCT(Y12:$AG$12,Y13:$AG$13,Y6:$AG$6)/Y14/Y17,0)</f>
        <v>0</v>
      </c>
      <c r="Z22" s="20" t="n">
        <f aca="false">IF(Z6=1,SUMPRODUCT(Z12:$AG$12,Z13:$AG$13,Z6:$AG$6)/Z14/Z17,0)</f>
        <v>0</v>
      </c>
      <c r="AA22" s="20" t="n">
        <f aca="false">IF(AA6=1,SUMPRODUCT(AA12:$AG$12,AA13:$AG$13,AA6:$AG$6)/AA14/AA17,0)</f>
        <v>0</v>
      </c>
      <c r="AB22" s="20" t="n">
        <f aca="false">IF(AB6=1,SUMPRODUCT(AB12:$AG$12,AB13:$AG$13,AB6:$AG$6)/AB14/AB17,0)</f>
        <v>0</v>
      </c>
      <c r="AC22" s="20" t="n">
        <f aca="false">IF(AC6=1,SUMPRODUCT(AC12:$AG$12,AC13:$AG$13,AC6:$AG$6)/AC14/AC17,0)</f>
        <v>0</v>
      </c>
      <c r="AD22" s="20" t="n">
        <f aca="false">IF(AD6=1,SUMPRODUCT(AD12:$AG$12,AD13:$AG$13,AD6:$AG$6)/AD14/AD17,0)</f>
        <v>0</v>
      </c>
      <c r="AE22" s="20" t="n">
        <f aca="false">IF(AE6=1,SUMPRODUCT(AE12:$AG$12,AE13:$AG$13,AE6:$AG$6)/AE14/AE17,0)</f>
        <v>0</v>
      </c>
      <c r="AF22" s="20" t="n">
        <f aca="false">IF(AF6=1,SUMPRODUCT(AF12:$AG$12,AF13:$AG$13,AF6:$AG$6)/AF14/AF17,0)</f>
        <v>0</v>
      </c>
      <c r="AG22" s="20" t="n">
        <f aca="false">IF(AG6=1,SUMPRODUCT(AG12:$AG$12,AG13:$AG$13,AG6:$AG$6)/AG14/AG17,0)</f>
        <v>0</v>
      </c>
    </row>
    <row r="29" customFormat="false" ht="15" hidden="false" customHeight="false" outlineLevel="0" collapsed="false">
      <c r="B29" s="2" t="s">
        <v>90</v>
      </c>
    </row>
    <row r="30" customFormat="false" ht="15" hidden="false" customHeight="false" outlineLevel="0" collapsed="false">
      <c r="B30" s="3" t="s">
        <v>91</v>
      </c>
      <c r="C30" s="17" t="n">
        <f aca="false">SUMPRODUCT(D12:AG12,D13:AG13,D6:AG6)</f>
        <v>498.874540953357</v>
      </c>
    </row>
    <row r="31" customFormat="false" ht="15" hidden="false" customHeight="false" outlineLevel="0" collapsed="false">
      <c r="B31" s="3" t="s">
        <v>92</v>
      </c>
      <c r="C31" s="16" t="n">
        <f aca="false">C30/Inputs!C19</f>
        <v>369.536697002487</v>
      </c>
    </row>
    <row r="32" customFormat="false" ht="15" hidden="false" customHeight="false" outlineLevel="0" collapsed="false">
      <c r="B32" s="3" t="s">
        <v>93</v>
      </c>
      <c r="C32" s="16" t="n">
        <f aca="false">Inputs!C20*Construction!C15</f>
        <v>373.900886223322</v>
      </c>
    </row>
    <row r="33" customFormat="false" ht="15" hidden="false" customHeight="false" outlineLevel="0" collapsed="false">
      <c r="B33" s="3" t="s">
        <v>94</v>
      </c>
      <c r="C33" s="17" t="n">
        <f aca="false">MIN(C31,C32)</f>
        <v>369.536697002487</v>
      </c>
    </row>
    <row r="34" customFormat="false" ht="15" hidden="false" customHeight="false" outlineLevel="0" collapsed="false">
      <c r="B34" s="3" t="s">
        <v>95</v>
      </c>
      <c r="C34" s="21" t="n">
        <f aca="false">C30/Inputs!C32</f>
        <v>1.35</v>
      </c>
    </row>
    <row r="35" customFormat="false" ht="15" hidden="false" customHeight="false" outlineLevel="0" collapsed="false">
      <c r="B35" s="3" t="s">
        <v>96</v>
      </c>
      <c r="C35" s="3" t="str">
        <f aca="false">IF(C31&lt;=C32,"DSCR","gearing")</f>
        <v>DSCR</v>
      </c>
    </row>
    <row r="36" customFormat="false" ht="15" hidden="false" customHeight="false" outlineLevel="0" collapsed="false">
      <c r="B36" s="3" t="s">
        <v>97</v>
      </c>
      <c r="C36" s="16" t="n">
        <f aca="false">INDEX(D20:AG20,1,Inputs!C18)</f>
        <v>-6.11066752753686E-013</v>
      </c>
    </row>
    <row r="37" customFormat="false" ht="15" hidden="false" customHeight="false" outlineLevel="0" collapsed="false">
      <c r="B37" s="3" t="s">
        <v>98</v>
      </c>
      <c r="C37" s="17" t="n">
        <f aca="false">SUMPRODUCT(D19:AG19,D6:AG6)</f>
        <v>369.536697002487</v>
      </c>
    </row>
    <row r="38" customFormat="false" ht="15" hidden="false" customHeight="false" outlineLevel="0" collapsed="false">
      <c r="B38" s="3" t="s">
        <v>99</v>
      </c>
      <c r="C38" s="17" t="n">
        <f aca="false">_xlfn.MINIFS(D19:AG19,D6:AG6,1)</f>
        <v>8.19816855022118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9" min="3" style="0" width="11"/>
  </cols>
  <sheetData>
    <row r="1" customFormat="false" ht="17.35" hidden="false" customHeight="false" outlineLevel="0" collapsed="false">
      <c r="A1" s="1" t="s">
        <v>100</v>
      </c>
    </row>
    <row r="4" customFormat="false" ht="15" hidden="false" customHeight="false" outlineLevel="0" collapsed="false">
      <c r="B4" s="2" t="s">
        <v>73</v>
      </c>
      <c r="D4" s="14" t="n">
        <v>1</v>
      </c>
      <c r="E4" s="14" t="n">
        <v>2</v>
      </c>
      <c r="F4" s="14" t="n">
        <v>3</v>
      </c>
      <c r="G4" s="14" t="n">
        <v>4</v>
      </c>
      <c r="H4" s="14" t="n">
        <v>5</v>
      </c>
      <c r="I4" s="14" t="n">
        <v>6</v>
      </c>
      <c r="J4" s="14" t="n">
        <v>7</v>
      </c>
      <c r="K4" s="14" t="n">
        <v>8</v>
      </c>
      <c r="L4" s="14" t="n">
        <v>9</v>
      </c>
      <c r="M4" s="14" t="n">
        <v>10</v>
      </c>
      <c r="N4" s="14" t="n">
        <v>11</v>
      </c>
      <c r="O4" s="14" t="n">
        <v>12</v>
      </c>
      <c r="P4" s="14" t="n">
        <v>13</v>
      </c>
      <c r="Q4" s="14" t="n">
        <v>14</v>
      </c>
      <c r="R4" s="14" t="n">
        <v>15</v>
      </c>
      <c r="S4" s="14" t="n">
        <v>16</v>
      </c>
      <c r="T4" s="14" t="n">
        <v>17</v>
      </c>
      <c r="U4" s="14" t="n">
        <v>18</v>
      </c>
      <c r="V4" s="14" t="n">
        <v>19</v>
      </c>
      <c r="W4" s="14" t="n">
        <v>20</v>
      </c>
      <c r="X4" s="14" t="n">
        <v>21</v>
      </c>
      <c r="Y4" s="14" t="n">
        <v>22</v>
      </c>
      <c r="Z4" s="14" t="n">
        <v>23</v>
      </c>
      <c r="AA4" s="14" t="n">
        <v>24</v>
      </c>
      <c r="AB4" s="14" t="n">
        <v>25</v>
      </c>
      <c r="AC4" s="14" t="n">
        <v>26</v>
      </c>
      <c r="AD4" s="14" t="n">
        <v>27</v>
      </c>
      <c r="AE4" s="14" t="n">
        <v>28</v>
      </c>
      <c r="AF4" s="14" t="n">
        <v>29</v>
      </c>
      <c r="AG4" s="14" t="n">
        <v>30</v>
      </c>
    </row>
    <row r="5" customFormat="false" ht="15" hidden="false" customHeight="false" outlineLevel="0" collapsed="false">
      <c r="B5" s="3" t="s">
        <v>74</v>
      </c>
      <c r="D5" s="15" t="n">
        <f aca="false">Operations!D5</f>
        <v>1</v>
      </c>
      <c r="E5" s="15" t="n">
        <f aca="false">Operations!E5</f>
        <v>1</v>
      </c>
      <c r="F5" s="15" t="n">
        <f aca="false">Operations!F5</f>
        <v>1</v>
      </c>
      <c r="G5" s="15" t="n">
        <f aca="false">Operations!G5</f>
        <v>1</v>
      </c>
      <c r="H5" s="15" t="n">
        <f aca="false">Operations!H5</f>
        <v>1</v>
      </c>
      <c r="I5" s="15" t="n">
        <f aca="false">Operations!I5</f>
        <v>1</v>
      </c>
      <c r="J5" s="15" t="n">
        <f aca="false">Operations!J5</f>
        <v>1</v>
      </c>
      <c r="K5" s="15" t="n">
        <f aca="false">Operations!K5</f>
        <v>1</v>
      </c>
      <c r="L5" s="15" t="n">
        <f aca="false">Operations!L5</f>
        <v>1</v>
      </c>
      <c r="M5" s="15" t="n">
        <f aca="false">Operations!M5</f>
        <v>1</v>
      </c>
      <c r="N5" s="15" t="n">
        <f aca="false">Operations!N5</f>
        <v>1</v>
      </c>
      <c r="O5" s="15" t="n">
        <f aca="false">Operations!O5</f>
        <v>1</v>
      </c>
      <c r="P5" s="15" t="n">
        <f aca="false">Operations!P5</f>
        <v>1</v>
      </c>
      <c r="Q5" s="15" t="n">
        <f aca="false">Operations!Q5</f>
        <v>1</v>
      </c>
      <c r="R5" s="15" t="n">
        <f aca="false">Operations!R5</f>
        <v>1</v>
      </c>
      <c r="S5" s="15" t="n">
        <f aca="false">Operations!S5</f>
        <v>1</v>
      </c>
      <c r="T5" s="15" t="n">
        <f aca="false">Operations!T5</f>
        <v>1</v>
      </c>
      <c r="U5" s="15" t="n">
        <f aca="false">Operations!U5</f>
        <v>1</v>
      </c>
      <c r="V5" s="15" t="n">
        <f aca="false">Operations!V5</f>
        <v>1</v>
      </c>
      <c r="W5" s="15" t="n">
        <f aca="false">Operations!W5</f>
        <v>1</v>
      </c>
      <c r="X5" s="15" t="n">
        <f aca="false">Operations!X5</f>
        <v>1</v>
      </c>
      <c r="Y5" s="15" t="n">
        <f aca="false">Operations!Y5</f>
        <v>1</v>
      </c>
      <c r="Z5" s="15" t="n">
        <f aca="false">Operations!Z5</f>
        <v>1</v>
      </c>
      <c r="AA5" s="15" t="n">
        <f aca="false">Operations!AA5</f>
        <v>1</v>
      </c>
      <c r="AB5" s="15" t="n">
        <f aca="false">Operations!AB5</f>
        <v>1</v>
      </c>
      <c r="AC5" s="15" t="n">
        <f aca="false">Operations!AC5</f>
        <v>0</v>
      </c>
      <c r="AD5" s="15" t="n">
        <f aca="false">Operations!AD5</f>
        <v>0</v>
      </c>
      <c r="AE5" s="15" t="n">
        <f aca="false">Operations!AE5</f>
        <v>0</v>
      </c>
      <c r="AF5" s="15" t="n">
        <f aca="false">Operations!AF5</f>
        <v>0</v>
      </c>
      <c r="AG5" s="15" t="n">
        <f aca="false">Operations!AG5</f>
        <v>0</v>
      </c>
    </row>
    <row r="6" customFormat="false" ht="15" hidden="false" customHeight="false" outlineLevel="0" collapsed="false">
      <c r="B6" s="3" t="s">
        <v>75</v>
      </c>
      <c r="D6" s="15" t="n">
        <f aca="false">Operations!D6</f>
        <v>1</v>
      </c>
      <c r="E6" s="15" t="n">
        <f aca="false">Operations!E6</f>
        <v>1</v>
      </c>
      <c r="F6" s="15" t="n">
        <f aca="false">Operations!F6</f>
        <v>1</v>
      </c>
      <c r="G6" s="15" t="n">
        <f aca="false">Operations!G6</f>
        <v>1</v>
      </c>
      <c r="H6" s="15" t="n">
        <f aca="false">Operations!H6</f>
        <v>1</v>
      </c>
      <c r="I6" s="15" t="n">
        <f aca="false">Operations!I6</f>
        <v>1</v>
      </c>
      <c r="J6" s="15" t="n">
        <f aca="false">Operations!J6</f>
        <v>1</v>
      </c>
      <c r="K6" s="15" t="n">
        <f aca="false">Operations!K6</f>
        <v>1</v>
      </c>
      <c r="L6" s="15" t="n">
        <f aca="false">Operations!L6</f>
        <v>1</v>
      </c>
      <c r="M6" s="15" t="n">
        <f aca="false">Operations!M6</f>
        <v>1</v>
      </c>
      <c r="N6" s="15" t="n">
        <f aca="false">Operations!N6</f>
        <v>1</v>
      </c>
      <c r="O6" s="15" t="n">
        <f aca="false">Operations!O6</f>
        <v>1</v>
      </c>
      <c r="P6" s="15" t="n">
        <f aca="false">Operations!P6</f>
        <v>1</v>
      </c>
      <c r="Q6" s="15" t="n">
        <f aca="false">Operations!Q6</f>
        <v>1</v>
      </c>
      <c r="R6" s="15" t="n">
        <f aca="false">Operations!R6</f>
        <v>1</v>
      </c>
      <c r="S6" s="15" t="n">
        <f aca="false">Operations!S6</f>
        <v>1</v>
      </c>
      <c r="T6" s="15" t="n">
        <f aca="false">Operations!T6</f>
        <v>1</v>
      </c>
      <c r="U6" s="15" t="n">
        <f aca="false">Operations!U6</f>
        <v>1</v>
      </c>
      <c r="V6" s="15" t="n">
        <f aca="false">Operations!V6</f>
        <v>0</v>
      </c>
      <c r="W6" s="15" t="n">
        <f aca="false">Operations!W6</f>
        <v>0</v>
      </c>
      <c r="X6" s="15" t="n">
        <f aca="false">Operations!X6</f>
        <v>0</v>
      </c>
      <c r="Y6" s="15" t="n">
        <f aca="false">Operations!Y6</f>
        <v>0</v>
      </c>
      <c r="Z6" s="15" t="n">
        <f aca="false">Operations!Z6</f>
        <v>0</v>
      </c>
      <c r="AA6" s="15" t="n">
        <f aca="false">Operations!AA6</f>
        <v>0</v>
      </c>
      <c r="AB6" s="15" t="n">
        <f aca="false">Operations!AB6</f>
        <v>0</v>
      </c>
      <c r="AC6" s="15" t="n">
        <f aca="false">Operations!AC6</f>
        <v>0</v>
      </c>
      <c r="AD6" s="15" t="n">
        <f aca="false">Operations!AD6</f>
        <v>0</v>
      </c>
      <c r="AE6" s="15" t="n">
        <f aca="false">Operations!AE6</f>
        <v>0</v>
      </c>
      <c r="AF6" s="15" t="n">
        <f aca="false">Operations!AF6</f>
        <v>0</v>
      </c>
      <c r="AG6" s="15" t="n">
        <f aca="false">Operations!AG6</f>
        <v>0</v>
      </c>
    </row>
    <row r="7" customFormat="false" ht="15" hidden="false" customHeight="false" outlineLevel="0" collapsed="false">
      <c r="B7" s="3" t="s">
        <v>101</v>
      </c>
      <c r="D7" s="16" t="n">
        <f aca="false">Operations!D7*(1-Inputs!$C$26)*IF(D$4=1,1-Inputs!$C$28/12,1)</f>
        <v>54.56</v>
      </c>
      <c r="E7" s="16" t="n">
        <f aca="false">Operations!E7*(1-Inputs!$C$26)*IF(E$4=1,1-Inputs!$C$28/12,1)</f>
        <v>55.6512</v>
      </c>
      <c r="F7" s="16" t="n">
        <f aca="false">Operations!F7*(1-Inputs!$C$26)*IF(F$4=1,1-Inputs!$C$28/12,1)</f>
        <v>56.764224</v>
      </c>
      <c r="G7" s="16" t="n">
        <f aca="false">Operations!G7*(1-Inputs!$C$26)*IF(G$4=1,1-Inputs!$C$28/12,1)</f>
        <v>57.89950848</v>
      </c>
      <c r="H7" s="16" t="n">
        <f aca="false">Operations!H7*(1-Inputs!$C$26)*IF(H$4=1,1-Inputs!$C$28/12,1)</f>
        <v>59.0574986496</v>
      </c>
      <c r="I7" s="16" t="n">
        <f aca="false">Operations!I7*(1-Inputs!$C$26)*IF(I$4=1,1-Inputs!$C$28/12,1)</f>
        <v>60.238648622592</v>
      </c>
      <c r="J7" s="16" t="n">
        <f aca="false">Operations!J7*(1-Inputs!$C$26)*IF(J$4=1,1-Inputs!$C$28/12,1)</f>
        <v>61.4434215950438</v>
      </c>
      <c r="K7" s="16" t="n">
        <f aca="false">Operations!K7*(1-Inputs!$C$26)*IF(K$4=1,1-Inputs!$C$28/12,1)</f>
        <v>62.6722900269447</v>
      </c>
      <c r="L7" s="16" t="n">
        <f aca="false">Operations!L7*(1-Inputs!$C$26)*IF(L$4=1,1-Inputs!$C$28/12,1)</f>
        <v>63.9257358274836</v>
      </c>
      <c r="M7" s="16" t="n">
        <f aca="false">Operations!M7*(1-Inputs!$C$26)*IF(M$4=1,1-Inputs!$C$28/12,1)</f>
        <v>65.2042505440333</v>
      </c>
      <c r="N7" s="16" t="n">
        <f aca="false">Operations!N7*(1-Inputs!$C$26)*IF(N$4=1,1-Inputs!$C$28/12,1)</f>
        <v>66.508335554914</v>
      </c>
      <c r="O7" s="16" t="n">
        <f aca="false">Operations!O7*(1-Inputs!$C$26)*IF(O$4=1,1-Inputs!$C$28/12,1)</f>
        <v>67.8385022660122</v>
      </c>
      <c r="P7" s="16" t="n">
        <f aca="false">Operations!P7*(1-Inputs!$C$26)*IF(P$4=1,1-Inputs!$C$28/12,1)</f>
        <v>69.1952723113325</v>
      </c>
      <c r="Q7" s="16" t="n">
        <f aca="false">Operations!Q7*(1-Inputs!$C$26)*IF(Q$4=1,1-Inputs!$C$28/12,1)</f>
        <v>70.5791777575591</v>
      </c>
      <c r="R7" s="16" t="n">
        <f aca="false">Operations!R7*(1-Inputs!$C$26)*IF(R$4=1,1-Inputs!$C$28/12,1)</f>
        <v>71.9907613127103</v>
      </c>
      <c r="S7" s="16" t="n">
        <f aca="false">Operations!S7*(1-Inputs!$C$26)*IF(S$4=1,1-Inputs!$C$28/12,1)</f>
        <v>73.4305765389645</v>
      </c>
      <c r="T7" s="16" t="n">
        <f aca="false">Operations!T7*(1-Inputs!$C$26)*IF(T$4=1,1-Inputs!$C$28/12,1)</f>
        <v>74.8991880697438</v>
      </c>
      <c r="U7" s="16" t="n">
        <f aca="false">Operations!U7*(1-Inputs!$C$26)*IF(U$4=1,1-Inputs!$C$28/12,1)</f>
        <v>76.3971718311387</v>
      </c>
      <c r="V7" s="16" t="n">
        <f aca="false">Operations!V7*(1-Inputs!$C$26)*IF(V$4=1,1-Inputs!$C$28/12,1)</f>
        <v>77.9251152677615</v>
      </c>
      <c r="W7" s="16" t="n">
        <f aca="false">Operations!W7*(1-Inputs!$C$26)*IF(W$4=1,1-Inputs!$C$28/12,1)</f>
        <v>79.4836175731167</v>
      </c>
      <c r="X7" s="16" t="n">
        <f aca="false">Operations!X7*(1-Inputs!$C$26)*IF(X$4=1,1-Inputs!$C$28/12,1)</f>
        <v>81.073289924579</v>
      </c>
      <c r="Y7" s="16" t="n">
        <f aca="false">Operations!Y7*(1-Inputs!$C$26)*IF(Y$4=1,1-Inputs!$C$28/12,1)</f>
        <v>82.6947557230706</v>
      </c>
      <c r="Z7" s="16" t="n">
        <f aca="false">Operations!Z7*(1-Inputs!$C$26)*IF(Z$4=1,1-Inputs!$C$28/12,1)</f>
        <v>84.348650837532</v>
      </c>
      <c r="AA7" s="16" t="n">
        <f aca="false">Operations!AA7*(1-Inputs!$C$26)*IF(AA$4=1,1-Inputs!$C$28/12,1)</f>
        <v>86.0356238542827</v>
      </c>
      <c r="AB7" s="16" t="n">
        <f aca="false">Operations!AB7*(1-Inputs!$C$26)*IF(AB$4=1,1-Inputs!$C$28/12,1)</f>
        <v>87.7563363313684</v>
      </c>
      <c r="AC7" s="16" t="n">
        <f aca="false">Operations!AC7*(1-Inputs!$C$26)*IF(AC$4=1,1-Inputs!$C$28/12,1)</f>
        <v>0</v>
      </c>
      <c r="AD7" s="16" t="n">
        <f aca="false">Operations!AD7*(1-Inputs!$C$26)*IF(AD$4=1,1-Inputs!$C$28/12,1)</f>
        <v>0</v>
      </c>
      <c r="AE7" s="16" t="n">
        <f aca="false">Operations!AE7*(1-Inputs!$C$26)*IF(AE$4=1,1-Inputs!$C$28/12,1)</f>
        <v>0</v>
      </c>
      <c r="AF7" s="16" t="n">
        <f aca="false">Operations!AF7*(1-Inputs!$C$26)*IF(AF$4=1,1-Inputs!$C$28/12,1)</f>
        <v>0</v>
      </c>
      <c r="AG7" s="16" t="n">
        <f aca="false">Operations!AG7*(1-Inputs!$C$26)*IF(AG$4=1,1-Inputs!$C$28/12,1)</f>
        <v>0</v>
      </c>
    </row>
    <row r="8" customFormat="false" ht="15" hidden="false" customHeight="false" outlineLevel="0" collapsed="false">
      <c r="B8" s="3" t="s">
        <v>102</v>
      </c>
      <c r="D8" s="16" t="n">
        <f aca="false">Operations!D8*(1+Inputs!$C$27)</f>
        <v>16.1</v>
      </c>
      <c r="E8" s="16" t="n">
        <f aca="false">Operations!E8*(1+Inputs!$C$27)</f>
        <v>16.5025</v>
      </c>
      <c r="F8" s="16" t="n">
        <f aca="false">Operations!F8*(1+Inputs!$C$27)</f>
        <v>16.9150625</v>
      </c>
      <c r="G8" s="16" t="n">
        <f aca="false">Operations!G8*(1+Inputs!$C$27)</f>
        <v>17.3379390625</v>
      </c>
      <c r="H8" s="16" t="n">
        <f aca="false">Operations!H8*(1+Inputs!$C$27)</f>
        <v>17.7713875390625</v>
      </c>
      <c r="I8" s="16" t="n">
        <f aca="false">Operations!I8*(1+Inputs!$C$27)</f>
        <v>18.2156722275391</v>
      </c>
      <c r="J8" s="16" t="n">
        <f aca="false">Operations!J8*(1+Inputs!$C$27)</f>
        <v>18.6710640332275</v>
      </c>
      <c r="K8" s="16" t="n">
        <f aca="false">Operations!K8*(1+Inputs!$C$27)</f>
        <v>19.1378406340582</v>
      </c>
      <c r="L8" s="16" t="n">
        <f aca="false">Operations!L8*(1+Inputs!$C$27)</f>
        <v>19.6162866499097</v>
      </c>
      <c r="M8" s="16" t="n">
        <f aca="false">Operations!M8*(1+Inputs!$C$27)</f>
        <v>20.1066938161574</v>
      </c>
      <c r="N8" s="16" t="n">
        <f aca="false">Operations!N8*(1+Inputs!$C$27)</f>
        <v>20.6093611615613</v>
      </c>
      <c r="O8" s="16" t="n">
        <f aca="false">Operations!O8*(1+Inputs!$C$27)</f>
        <v>21.1245951906004</v>
      </c>
      <c r="P8" s="16" t="n">
        <f aca="false">Operations!P8*(1+Inputs!$C$27)</f>
        <v>21.6527100703654</v>
      </c>
      <c r="Q8" s="16" t="n">
        <f aca="false">Operations!Q8*(1+Inputs!$C$27)</f>
        <v>22.1940278221245</v>
      </c>
      <c r="R8" s="16" t="n">
        <f aca="false">Operations!R8*(1+Inputs!$C$27)</f>
        <v>22.7488785176776</v>
      </c>
      <c r="S8" s="16" t="n">
        <f aca="false">Operations!S8*(1+Inputs!$C$27)</f>
        <v>23.3176004806196</v>
      </c>
      <c r="T8" s="16" t="n">
        <f aca="false">Operations!T8*(1+Inputs!$C$27)</f>
        <v>23.9005404926351</v>
      </c>
      <c r="U8" s="16" t="n">
        <f aca="false">Operations!U8*(1+Inputs!$C$27)</f>
        <v>24.4980540049509</v>
      </c>
      <c r="V8" s="16" t="n">
        <f aca="false">Operations!V8*(1+Inputs!$C$27)</f>
        <v>25.1105053550747</v>
      </c>
      <c r="W8" s="16" t="n">
        <f aca="false">Operations!W8*(1+Inputs!$C$27)</f>
        <v>25.7382679889516</v>
      </c>
      <c r="X8" s="16" t="n">
        <f aca="false">Operations!X8*(1+Inputs!$C$27)</f>
        <v>26.3817246886753</v>
      </c>
      <c r="Y8" s="16" t="n">
        <f aca="false">Operations!Y8*(1+Inputs!$C$27)</f>
        <v>27.0412678058922</v>
      </c>
      <c r="Z8" s="16" t="n">
        <f aca="false">Operations!Z8*(1+Inputs!$C$27)</f>
        <v>27.7172995010395</v>
      </c>
      <c r="AA8" s="16" t="n">
        <f aca="false">Operations!AA8*(1+Inputs!$C$27)</f>
        <v>28.4102319885655</v>
      </c>
      <c r="AB8" s="16" t="n">
        <f aca="false">Operations!AB8*(1+Inputs!$C$27)</f>
        <v>29.1204877882797</v>
      </c>
      <c r="AC8" s="16" t="n">
        <f aca="false">Operations!AC8*(1+Inputs!$C$27)</f>
        <v>0</v>
      </c>
      <c r="AD8" s="16" t="n">
        <f aca="false">Operations!AD8*(1+Inputs!$C$27)</f>
        <v>0</v>
      </c>
      <c r="AE8" s="16" t="n">
        <f aca="false">Operations!AE8*(1+Inputs!$C$27)</f>
        <v>0</v>
      </c>
      <c r="AF8" s="16" t="n">
        <f aca="false">Operations!AF8*(1+Inputs!$C$27)</f>
        <v>0</v>
      </c>
      <c r="AG8" s="16" t="n">
        <f aca="false">Operations!AG8*(1+Inputs!$C$27)</f>
        <v>0</v>
      </c>
    </row>
    <row r="9" customFormat="false" ht="15" hidden="false" customHeight="false" outlineLevel="0" collapsed="false">
      <c r="B9" s="3" t="s">
        <v>78</v>
      </c>
      <c r="D9" s="17" t="n">
        <f aca="false">D7-D8</f>
        <v>38.46</v>
      </c>
      <c r="E9" s="17" t="n">
        <f aca="false">E7-E8</f>
        <v>39.1487</v>
      </c>
      <c r="F9" s="17" t="n">
        <f aca="false">F7-F8</f>
        <v>39.8491615</v>
      </c>
      <c r="G9" s="17" t="n">
        <f aca="false">G7-G8</f>
        <v>40.5615694175</v>
      </c>
      <c r="H9" s="17" t="n">
        <f aca="false">H7-H8</f>
        <v>41.2861111105375</v>
      </c>
      <c r="I9" s="17" t="n">
        <f aca="false">I7-I8</f>
        <v>42.022976395053</v>
      </c>
      <c r="J9" s="17" t="n">
        <f aca="false">J7-J8</f>
        <v>42.7723575618163</v>
      </c>
      <c r="K9" s="17" t="n">
        <f aca="false">K7-K8</f>
        <v>43.5344493928865</v>
      </c>
      <c r="L9" s="17" t="n">
        <f aca="false">L7-L8</f>
        <v>44.309449177574</v>
      </c>
      <c r="M9" s="17" t="n">
        <f aca="false">M7-M8</f>
        <v>45.0975567278759</v>
      </c>
      <c r="N9" s="17" t="n">
        <f aca="false">N7-N8</f>
        <v>45.8989743933526</v>
      </c>
      <c r="O9" s="17" t="n">
        <f aca="false">O7-O8</f>
        <v>46.7139070754119</v>
      </c>
      <c r="P9" s="17" t="n">
        <f aca="false">P7-P8</f>
        <v>47.5425622409671</v>
      </c>
      <c r="Q9" s="17" t="n">
        <f aca="false">Q7-Q8</f>
        <v>48.3851499354346</v>
      </c>
      <c r="R9" s="17" t="n">
        <f aca="false">R7-R8</f>
        <v>49.2418827950327</v>
      </c>
      <c r="S9" s="17" t="n">
        <f aca="false">S7-S8</f>
        <v>50.112976058345</v>
      </c>
      <c r="T9" s="17" t="n">
        <f aca="false">T7-T8</f>
        <v>50.9986475771088</v>
      </c>
      <c r="U9" s="17" t="n">
        <f aca="false">U7-U8</f>
        <v>51.8991178261878</v>
      </c>
      <c r="V9" s="17" t="n">
        <f aca="false">V7-V8</f>
        <v>52.8146099126868</v>
      </c>
      <c r="W9" s="17" t="n">
        <f aca="false">W7-W8</f>
        <v>53.7453495841651</v>
      </c>
      <c r="X9" s="17" t="n">
        <f aca="false">X7-X8</f>
        <v>54.6915652359037</v>
      </c>
      <c r="Y9" s="17" t="n">
        <f aca="false">Y7-Y8</f>
        <v>55.6534879171784</v>
      </c>
      <c r="Z9" s="17" t="n">
        <f aca="false">Z7-Z8</f>
        <v>56.6313513364925</v>
      </c>
      <c r="AA9" s="17" t="n">
        <f aca="false">AA7-AA8</f>
        <v>57.6253918657172</v>
      </c>
      <c r="AB9" s="17" t="n">
        <f aca="false">AB7-AB8</f>
        <v>58.6358485430887</v>
      </c>
      <c r="AC9" s="17" t="n">
        <f aca="false">AC7-AC8</f>
        <v>0</v>
      </c>
      <c r="AD9" s="17" t="n">
        <f aca="false">AD7-AD8</f>
        <v>0</v>
      </c>
      <c r="AE9" s="17" t="n">
        <f aca="false">AE7-AE8</f>
        <v>0</v>
      </c>
      <c r="AF9" s="17" t="n">
        <f aca="false">AF7-AF8</f>
        <v>0</v>
      </c>
      <c r="AG9" s="17" t="n">
        <f aca="false">AG7-AG8</f>
        <v>0</v>
      </c>
    </row>
    <row r="10" customFormat="false" ht="15" hidden="false" customHeight="false" outlineLevel="0" collapsed="false">
      <c r="B10" s="3" t="s">
        <v>80</v>
      </c>
      <c r="D10" s="16" t="n">
        <f aca="false">Inputs!$C$15*MAX(0,D9-Operations!D10)</f>
        <v>4.615</v>
      </c>
      <c r="E10" s="16" t="n">
        <f aca="false">Inputs!$C$15*MAX(0,E9-Operations!E10)</f>
        <v>4.787175</v>
      </c>
      <c r="F10" s="16" t="n">
        <f aca="false">Inputs!$C$15*MAX(0,F9-Operations!F10)</f>
        <v>4.962290375</v>
      </c>
      <c r="G10" s="16" t="n">
        <f aca="false">Inputs!$C$15*MAX(0,G9-Operations!G10)</f>
        <v>5.140392354375</v>
      </c>
      <c r="H10" s="16" t="n">
        <f aca="false">Inputs!$C$15*MAX(0,H9-Operations!H10)</f>
        <v>5.32152777763438</v>
      </c>
      <c r="I10" s="16" t="n">
        <f aca="false">Inputs!$C$15*MAX(0,I9-Operations!I10)</f>
        <v>5.50574409876324</v>
      </c>
      <c r="J10" s="16" t="n">
        <f aca="false">Inputs!$C$15*MAX(0,J9-Operations!J10)</f>
        <v>5.69308939045408</v>
      </c>
      <c r="K10" s="16" t="n">
        <f aca="false">Inputs!$C$15*MAX(0,K9-Operations!K10)</f>
        <v>5.88361234822163</v>
      </c>
      <c r="L10" s="16" t="n">
        <f aca="false">Inputs!$C$15*MAX(0,L9-Operations!L10)</f>
        <v>6.07736229439349</v>
      </c>
      <c r="M10" s="16" t="n">
        <f aca="false">Inputs!$C$15*MAX(0,M9-Operations!M10)</f>
        <v>6.27438918196897</v>
      </c>
      <c r="N10" s="16" t="n">
        <f aca="false">Inputs!$C$15*MAX(0,N9-Operations!N10)</f>
        <v>6.47474359833815</v>
      </c>
      <c r="O10" s="16" t="n">
        <f aca="false">Inputs!$C$15*MAX(0,O9-Operations!O10)</f>
        <v>6.67847676885297</v>
      </c>
      <c r="P10" s="16" t="n">
        <f aca="false">Inputs!$C$15*MAX(0,P9-Operations!P10)</f>
        <v>6.88564056024177</v>
      </c>
      <c r="Q10" s="16" t="n">
        <f aca="false">Inputs!$C$15*MAX(0,Q9-Operations!Q10)</f>
        <v>7.09628748385866</v>
      </c>
      <c r="R10" s="16" t="n">
        <f aca="false">Inputs!$C$15*MAX(0,R9-Operations!R10)</f>
        <v>7.31047069875817</v>
      </c>
      <c r="S10" s="16" t="n">
        <f aca="false">Inputs!$C$15*MAX(0,S9-Operations!S10)</f>
        <v>7.52824401458624</v>
      </c>
      <c r="T10" s="16" t="n">
        <f aca="false">Inputs!$C$15*MAX(0,T9-Operations!T10)</f>
        <v>7.74966189427719</v>
      </c>
      <c r="U10" s="16" t="n">
        <f aca="false">Inputs!$C$15*MAX(0,U9-Operations!U10)</f>
        <v>7.97477945654694</v>
      </c>
      <c r="V10" s="16" t="n">
        <f aca="false">Inputs!$C$15*MAX(0,V9-Operations!V10)</f>
        <v>8.20365247817169</v>
      </c>
      <c r="W10" s="16" t="n">
        <f aca="false">Inputs!$C$15*MAX(0,W9-Operations!W10)</f>
        <v>8.43633739604129</v>
      </c>
      <c r="X10" s="16" t="n">
        <f aca="false">Inputs!$C$15*MAX(0,X9-Operations!X10)</f>
        <v>13.6728913089759</v>
      </c>
      <c r="Y10" s="16" t="n">
        <f aca="false">Inputs!$C$15*MAX(0,Y9-Operations!Y10)</f>
        <v>13.9133719792946</v>
      </c>
      <c r="Z10" s="16" t="n">
        <f aca="false">Inputs!$C$15*MAX(0,Z9-Operations!Z10)</f>
        <v>14.1578378341231</v>
      </c>
      <c r="AA10" s="16" t="n">
        <f aca="false">Inputs!$C$15*MAX(0,AA9-Operations!AA10)</f>
        <v>14.4063479664293</v>
      </c>
      <c r="AB10" s="16" t="n">
        <f aca="false">Inputs!$C$15*MAX(0,AB9-Operations!AB10)</f>
        <v>14.6589621357722</v>
      </c>
      <c r="AC10" s="16" t="n">
        <f aca="false">Inputs!$C$15*MAX(0,AC9-Operations!AC10)</f>
        <v>0</v>
      </c>
      <c r="AD10" s="16" t="n">
        <f aca="false">Inputs!$C$15*MAX(0,AD9-Operations!AD10)</f>
        <v>0</v>
      </c>
      <c r="AE10" s="16" t="n">
        <f aca="false">Inputs!$C$15*MAX(0,AE9-Operations!AE10)</f>
        <v>0</v>
      </c>
      <c r="AF10" s="16" t="n">
        <f aca="false">Inputs!$C$15*MAX(0,AF9-Operations!AF10)</f>
        <v>0</v>
      </c>
      <c r="AG10" s="16" t="n">
        <f aca="false">Inputs!$C$15*MAX(0,AG9-Operations!AG10)</f>
        <v>0</v>
      </c>
    </row>
    <row r="11" customFormat="false" ht="15" hidden="false" customHeight="false" outlineLevel="0" collapsed="false">
      <c r="B11" s="2" t="s">
        <v>103</v>
      </c>
      <c r="D11" s="17" t="n">
        <f aca="false">D9-D10</f>
        <v>33.845</v>
      </c>
      <c r="E11" s="17" t="n">
        <f aca="false">E9-E10</f>
        <v>34.361525</v>
      </c>
      <c r="F11" s="17" t="n">
        <f aca="false">F9-F10</f>
        <v>34.886871125</v>
      </c>
      <c r="G11" s="17" t="n">
        <f aca="false">G9-G10</f>
        <v>35.421177063125</v>
      </c>
      <c r="H11" s="17" t="n">
        <f aca="false">H9-H10</f>
        <v>35.9645833329031</v>
      </c>
      <c r="I11" s="17" t="n">
        <f aca="false">I9-I10</f>
        <v>36.5172322962897</v>
      </c>
      <c r="J11" s="17" t="n">
        <f aca="false">J9-J10</f>
        <v>37.0792681713622</v>
      </c>
      <c r="K11" s="17" t="n">
        <f aca="false">K9-K10</f>
        <v>37.6508370446649</v>
      </c>
      <c r="L11" s="17" t="n">
        <f aca="false">L9-L10</f>
        <v>38.2320868831805</v>
      </c>
      <c r="M11" s="17" t="n">
        <f aca="false">M9-M10</f>
        <v>38.8231675459069</v>
      </c>
      <c r="N11" s="17" t="n">
        <f aca="false">N9-N10</f>
        <v>39.4242307950145</v>
      </c>
      <c r="O11" s="17" t="n">
        <f aca="false">O9-O10</f>
        <v>40.0354303065589</v>
      </c>
      <c r="P11" s="17" t="n">
        <f aca="false">P9-P10</f>
        <v>40.6569216807253</v>
      </c>
      <c r="Q11" s="17" t="n">
        <f aca="false">Q9-Q10</f>
        <v>41.288862451576</v>
      </c>
      <c r="R11" s="17" t="n">
        <f aca="false">R9-R10</f>
        <v>41.9314120962745</v>
      </c>
      <c r="S11" s="17" t="n">
        <f aca="false">S9-S10</f>
        <v>42.5847320437587</v>
      </c>
      <c r="T11" s="17" t="n">
        <f aca="false">T9-T10</f>
        <v>43.2489856828316</v>
      </c>
      <c r="U11" s="17" t="n">
        <f aca="false">U9-U10</f>
        <v>43.9243383696408</v>
      </c>
      <c r="V11" s="17" t="n">
        <f aca="false">V9-V10</f>
        <v>44.6109574345151</v>
      </c>
      <c r="W11" s="17" t="n">
        <f aca="false">W9-W10</f>
        <v>45.3090121881239</v>
      </c>
      <c r="X11" s="17" t="n">
        <f aca="false">X9-X10</f>
        <v>41.0186739269278</v>
      </c>
      <c r="Y11" s="17" t="n">
        <f aca="false">Y9-Y10</f>
        <v>41.7401159378838</v>
      </c>
      <c r="Z11" s="17" t="n">
        <f aca="false">Z9-Z10</f>
        <v>42.4735135023694</v>
      </c>
      <c r="AA11" s="17" t="n">
        <f aca="false">AA9-AA10</f>
        <v>43.2190438992879</v>
      </c>
      <c r="AB11" s="17" t="n">
        <f aca="false">AB9-AB10</f>
        <v>43.9768864073165</v>
      </c>
      <c r="AC11" s="17" t="n">
        <f aca="false">AC9-AC10</f>
        <v>0</v>
      </c>
      <c r="AD11" s="17" t="n">
        <f aca="false">AD9-AD10</f>
        <v>0</v>
      </c>
      <c r="AE11" s="17" t="n">
        <f aca="false">AE9-AE10</f>
        <v>0</v>
      </c>
      <c r="AF11" s="17" t="n">
        <f aca="false">AF9-AF10</f>
        <v>0</v>
      </c>
      <c r="AG11" s="17" t="n">
        <f aca="false">AG9-AG10</f>
        <v>0</v>
      </c>
    </row>
    <row r="12" customFormat="false" ht="15" hidden="false" customHeight="false" outlineLevel="0" collapsed="false">
      <c r="B12" s="3" t="s">
        <v>104</v>
      </c>
      <c r="D12" s="16" t="n">
        <f aca="false">Operations!D16</f>
        <v>30.3703703703704</v>
      </c>
      <c r="E12" s="16" t="n">
        <f aca="false">Operations!E16</f>
        <v>30.8648148148148</v>
      </c>
      <c r="F12" s="16" t="n">
        <f aca="false">Operations!F16</f>
        <v>31.3681759259259</v>
      </c>
      <c r="G12" s="16" t="n">
        <f aca="false">Operations!G16</f>
        <v>31.8806077314815</v>
      </c>
      <c r="H12" s="16" t="n">
        <f aca="false">Operations!H16</f>
        <v>32.4022667321759</v>
      </c>
      <c r="I12" s="16" t="n">
        <f aca="false">Operations!I16</f>
        <v>32.9333119358877</v>
      </c>
      <c r="J12" s="16" t="n">
        <f aca="false">Operations!J16</f>
        <v>33.4739048922523</v>
      </c>
      <c r="K12" s="16" t="n">
        <f aca="false">Operations!K16</f>
        <v>34.0242097275373</v>
      </c>
      <c r="L12" s="16" t="n">
        <f aca="false">Operations!L16</f>
        <v>34.5843931798157</v>
      </c>
      <c r="M12" s="16" t="n">
        <f aca="false">Operations!M16</f>
        <v>35.1546246344348</v>
      </c>
      <c r="N12" s="16" t="n">
        <f aca="false">Operations!N16</f>
        <v>35.7350761597737</v>
      </c>
      <c r="O12" s="16" t="n">
        <f aca="false">Operations!O16</f>
        <v>36.3259225432874</v>
      </c>
      <c r="P12" s="16" t="n">
        <f aca="false">Operations!P16</f>
        <v>36.9273413278313</v>
      </c>
      <c r="Q12" s="16" t="n">
        <f aca="false">Operations!Q16</f>
        <v>37.5395128482598</v>
      </c>
      <c r="R12" s="16" t="n">
        <f aca="false">Operations!R16</f>
        <v>38.1626202682956</v>
      </c>
      <c r="S12" s="16" t="n">
        <f aca="false">Operations!S16</f>
        <v>38.7968496176607</v>
      </c>
      <c r="T12" s="16" t="n">
        <f aca="false">Operations!T16</f>
        <v>39.4423898294649</v>
      </c>
      <c r="U12" s="16" t="n">
        <f aca="false">Operations!U16</f>
        <v>40.0994327778433</v>
      </c>
      <c r="V12" s="16" t="n">
        <f aca="false">Operations!V16</f>
        <v>0</v>
      </c>
      <c r="W12" s="16" t="n">
        <f aca="false">Operations!W16</f>
        <v>0</v>
      </c>
      <c r="X12" s="16" t="n">
        <f aca="false">Operations!X16</f>
        <v>0</v>
      </c>
      <c r="Y12" s="16" t="n">
        <f aca="false">Operations!Y16</f>
        <v>0</v>
      </c>
      <c r="Z12" s="16" t="n">
        <f aca="false">Operations!Z16</f>
        <v>0</v>
      </c>
      <c r="AA12" s="16" t="n">
        <f aca="false">Operations!AA16</f>
        <v>0</v>
      </c>
      <c r="AB12" s="16" t="n">
        <f aca="false">Operations!AB16</f>
        <v>0</v>
      </c>
      <c r="AC12" s="16" t="n">
        <f aca="false">Operations!AC16</f>
        <v>0</v>
      </c>
      <c r="AD12" s="16" t="n">
        <f aca="false">Operations!AD16</f>
        <v>0</v>
      </c>
      <c r="AE12" s="16" t="n">
        <f aca="false">Operations!AE16</f>
        <v>0</v>
      </c>
      <c r="AF12" s="16" t="n">
        <f aca="false">Operations!AF16</f>
        <v>0</v>
      </c>
      <c r="AG12" s="16" t="n">
        <f aca="false">Operations!AG16</f>
        <v>0</v>
      </c>
    </row>
    <row r="13" customFormat="false" ht="15" hidden="false" customHeight="false" outlineLevel="0" collapsed="false">
      <c r="B13" s="2" t="s">
        <v>105</v>
      </c>
      <c r="D13" s="20" t="n">
        <f aca="false">IF(D6=1,D11/D12,"")</f>
        <v>1.11440853658537</v>
      </c>
      <c r="E13" s="20" t="n">
        <f aca="false">IF(E6=1,E11/E12,"")</f>
        <v>1.11329114417712</v>
      </c>
      <c r="F13" s="20" t="n">
        <f aca="false">IF(F6=1,F11/F12,"")</f>
        <v>1.11217404567557</v>
      </c>
      <c r="G13" s="20" t="n">
        <f aca="false">IF(G6=1,G11/G12,"")</f>
        <v>1.11105714676033</v>
      </c>
      <c r="H13" s="20" t="n">
        <f aca="false">IF(H6=1,H11/H12,"")</f>
        <v>1.10994035170971</v>
      </c>
      <c r="I13" s="20" t="n">
        <f aca="false">IF(I6=1,I11/I12,"")</f>
        <v>1.1088235634296</v>
      </c>
      <c r="J13" s="20" t="n">
        <f aca="false">IF(J6=1,J11/J12,"")</f>
        <v>1.10770668348121</v>
      </c>
      <c r="K13" s="20" t="n">
        <f aca="false">IF(K6=1,K11/K12,"")</f>
        <v>1.10658961210765</v>
      </c>
      <c r="L13" s="20" t="n">
        <f aca="false">IF(L6=1,L11/L12,"")</f>
        <v>1.10547224825947</v>
      </c>
      <c r="M13" s="20" t="n">
        <f aca="false">IF(M6=1,M11/M12,"")</f>
        <v>1.10435448961895</v>
      </c>
      <c r="N13" s="20" t="n">
        <f aca="false">IF(N6=1,N11/N12,"")</f>
        <v>1.10323623262327</v>
      </c>
      <c r="O13" s="20" t="n">
        <f aca="false">IF(O6=1,O11/O12,"")</f>
        <v>1.10211737248658</v>
      </c>
      <c r="P13" s="20" t="n">
        <f aca="false">IF(P6=1,P11/P12,"")</f>
        <v>1.10099780322076</v>
      </c>
      <c r="Q13" s="20" t="n">
        <f aca="false">IF(Q6=1,Q11/Q12,"")</f>
        <v>1.09987741765514</v>
      </c>
      <c r="R13" s="20" t="n">
        <f aca="false">IF(R6=1,R11/R12,"")</f>
        <v>1.09875610745497</v>
      </c>
      <c r="S13" s="20" t="n">
        <f aca="false">IF(S6=1,S11/S12,"")</f>
        <v>1.09763376313869</v>
      </c>
      <c r="T13" s="20" t="n">
        <f aca="false">IF(T6=1,T11/T12,"")</f>
        <v>1.09651027409407</v>
      </c>
      <c r="U13" s="20" t="n">
        <f aca="false">IF(U6=1,U11/U12,"")</f>
        <v>1.09538552859309</v>
      </c>
      <c r="V13" s="20" t="str">
        <f aca="false">IF(V6=1,V11/V12,"")</f>
        <v/>
      </c>
      <c r="W13" s="20" t="str">
        <f aca="false">IF(W6=1,W11/W12,"")</f>
        <v/>
      </c>
      <c r="X13" s="20" t="str">
        <f aca="false">IF(X6=1,X11/X12,"")</f>
        <v/>
      </c>
      <c r="Y13" s="20" t="str">
        <f aca="false">IF(Y6=1,Y11/Y12,"")</f>
        <v/>
      </c>
      <c r="Z13" s="20" t="str">
        <f aca="false">IF(Z6=1,Z11/Z12,"")</f>
        <v/>
      </c>
      <c r="AA13" s="20" t="str">
        <f aca="false">IF(AA6=1,AA11/AA12,"")</f>
        <v/>
      </c>
      <c r="AB13" s="20" t="str">
        <f aca="false">IF(AB6=1,AB11/AB12,"")</f>
        <v/>
      </c>
      <c r="AC13" s="20" t="str">
        <f aca="false">IF(AC6=1,AC11/AC12,"")</f>
        <v/>
      </c>
      <c r="AD13" s="20" t="str">
        <f aca="false">IF(AD6=1,AD11/AD12,"")</f>
        <v/>
      </c>
      <c r="AE13" s="20" t="str">
        <f aca="false">IF(AE6=1,AE11/AE12,"")</f>
        <v/>
      </c>
      <c r="AF13" s="20" t="str">
        <f aca="false">IF(AF6=1,AF11/AF12,"")</f>
        <v/>
      </c>
      <c r="AG13" s="20" t="str">
        <f aca="false">IF(AG6=1,AG11/AG12,"")</f>
        <v/>
      </c>
    </row>
    <row r="14" customFormat="false" ht="15" hidden="false" customHeight="false" outlineLevel="0" collapsed="false">
      <c r="B14" s="3" t="s">
        <v>85</v>
      </c>
      <c r="D14" s="16" t="n">
        <f aca="false">Operations!D17</f>
        <v>369.536697002486</v>
      </c>
      <c r="E14" s="16" t="n">
        <f aca="false">Operations!E17</f>
        <v>361.338528452265</v>
      </c>
      <c r="F14" s="16" t="n">
        <f aca="false">Operations!F17</f>
        <v>352.154025344586</v>
      </c>
      <c r="G14" s="16" t="n">
        <f aca="false">Operations!G17</f>
        <v>341.915090939336</v>
      </c>
      <c r="H14" s="16" t="n">
        <f aca="false">Operations!H17</f>
        <v>330.549388664214</v>
      </c>
      <c r="I14" s="16" t="n">
        <f aca="false">Operations!I17</f>
        <v>317.980085251891</v>
      </c>
      <c r="J14" s="16" t="n">
        <f aca="false">Operations!J17</f>
        <v>304.125578431117</v>
      </c>
      <c r="K14" s="16" t="n">
        <f aca="false">Operations!K17</f>
        <v>288.899208244732</v>
      </c>
      <c r="L14" s="16" t="n">
        <f aca="false">Operations!L17</f>
        <v>272.208951011878</v>
      </c>
      <c r="M14" s="16" t="n">
        <f aca="false">Operations!M17</f>
        <v>253.957094892775</v>
      </c>
      <c r="N14" s="16" t="n">
        <f aca="false">Operations!N17</f>
        <v>234.039895951907</v>
      </c>
      <c r="O14" s="16" t="n">
        <f aca="false">Operations!O17</f>
        <v>212.347213549248</v>
      </c>
      <c r="P14" s="16" t="n">
        <f aca="false">Operations!P17</f>
        <v>188.762123818915</v>
      </c>
      <c r="Q14" s="16" t="n">
        <f aca="false">Operations!Q17</f>
        <v>163.160509920219</v>
      </c>
      <c r="R14" s="16" t="n">
        <f aca="false">Operations!R17</f>
        <v>135.410627667172</v>
      </c>
      <c r="S14" s="16" t="n">
        <f aca="false">Operations!S17</f>
        <v>105.372645058907</v>
      </c>
      <c r="T14" s="16" t="n">
        <f aca="false">Operations!T17</f>
        <v>72.8981541447806</v>
      </c>
      <c r="U14" s="16" t="n">
        <f aca="false">Operations!U17</f>
        <v>37.8296535640025</v>
      </c>
      <c r="V14" s="16" t="n">
        <f aca="false">Operations!V17</f>
        <v>-6.11066752753686E-013</v>
      </c>
      <c r="W14" s="16" t="n">
        <f aca="false">Operations!W17</f>
        <v>-6.11066752753686E-013</v>
      </c>
      <c r="X14" s="16" t="n">
        <f aca="false">Operations!X17</f>
        <v>-6.11066752753686E-013</v>
      </c>
      <c r="Y14" s="16" t="n">
        <f aca="false">Operations!Y17</f>
        <v>-6.11066752753686E-013</v>
      </c>
      <c r="Z14" s="16" t="n">
        <f aca="false">Operations!Z17</f>
        <v>-6.11066752753686E-013</v>
      </c>
      <c r="AA14" s="16" t="n">
        <f aca="false">Operations!AA17</f>
        <v>-6.11066752753686E-013</v>
      </c>
      <c r="AB14" s="16" t="n">
        <f aca="false">Operations!AB17</f>
        <v>-6.11066752753686E-013</v>
      </c>
      <c r="AC14" s="16" t="n">
        <f aca="false">Operations!AC17</f>
        <v>-6.11066752753686E-013</v>
      </c>
      <c r="AD14" s="16" t="n">
        <f aca="false">Operations!AD17</f>
        <v>-6.11066752753686E-013</v>
      </c>
      <c r="AE14" s="16" t="n">
        <f aca="false">Operations!AE17</f>
        <v>-6.11066752753686E-013</v>
      </c>
      <c r="AF14" s="16" t="n">
        <f aca="false">Operations!AF17</f>
        <v>-6.11066752753686E-013</v>
      </c>
      <c r="AG14" s="16" t="n">
        <f aca="false">Operations!AG17</f>
        <v>-6.11066752753686E-013</v>
      </c>
    </row>
    <row r="15" customFormat="false" ht="15" hidden="false" customHeight="false" outlineLevel="0" collapsed="false">
      <c r="B15" s="3" t="s">
        <v>106</v>
      </c>
      <c r="D15" s="21" t="n">
        <f aca="false">IF(D6=1,SUMPRODUCT(D11:$AG$11,Operations!D13:$AG$13,D6:$AG$6)/Operations!D14/D14,"")</f>
        <v>1.1061578404357</v>
      </c>
      <c r="E15" s="21" t="n">
        <f aca="false">IF(E6=1,SUMPRODUCT(E11:$AG$11,Operations!E13:$AG$13,E6:$AG$6)/Operations!E14/E14,"")</f>
        <v>1.10546437245997</v>
      </c>
      <c r="F15" s="21" t="n">
        <f aca="false">IF(F6=1,SUMPRODUCT(F11:$AG$11,Operations!F13:$AG$13,F6:$AG$6)/Operations!F14/F14,"")</f>
        <v>1.10477838893497</v>
      </c>
      <c r="G15" s="21" t="n">
        <f aca="false">IF(G6=1,SUMPRODUCT(G11:$AG$11,Operations!G13:$AG$13,G6:$AG$6)/Operations!G14/G14,"")</f>
        <v>1.10409989223251</v>
      </c>
      <c r="H15" s="21" t="n">
        <f aca="false">IF(H6=1,SUMPRODUCT(H11:$AG$11,Operations!H13:$AG$13,H6:$AG$6)/Operations!H14/H14,"")</f>
        <v>1.10342888357209</v>
      </c>
      <c r="I15" s="21" t="n">
        <f aca="false">IF(I6=1,SUMPRODUCT(I11:$AG$11,Operations!I13:$AG$13,I6:$AG$6)/Operations!I14/I14,"")</f>
        <v>1.10276536300209</v>
      </c>
      <c r="J15" s="21" t="n">
        <f aca="false">IF(J6=1,SUMPRODUCT(J11:$AG$11,Operations!J13:$AG$13,J6:$AG$6)/Operations!J14/J14,"")</f>
        <v>1.10210932938112</v>
      </c>
      <c r="K15" s="21" t="n">
        <f aca="false">IF(K6=1,SUMPRODUCT(K11:$AG$11,Operations!K13:$AG$13,K6:$AG$6)/Operations!K14/K14,"")</f>
        <v>1.1014607803597</v>
      </c>
      <c r="L15" s="21" t="n">
        <f aca="false">IF(L6=1,SUMPRODUCT(L11:$AG$11,Operations!L13:$AG$13,L6:$AG$6)/Operations!L14/L14,"")</f>
        <v>1.10081971236249</v>
      </c>
      <c r="M15" s="21" t="n">
        <f aca="false">IF(M6=1,SUMPRODUCT(M11:$AG$11,Operations!M13:$AG$13,M6:$AG$6)/Operations!M14/M14,"")</f>
        <v>1.10018612057088</v>
      </c>
      <c r="N15" s="21" t="n">
        <f aca="false">IF(N6=1,SUMPRODUCT(N11:$AG$11,Operations!N13:$AG$13,N6:$AG$6)/Operations!N14/N14,"")</f>
        <v>1.09955999890634</v>
      </c>
      <c r="O15" s="21" t="n">
        <f aca="false">IF(O6=1,SUMPRODUCT(O11:$AG$11,Operations!O13:$AG$13,O6:$AG$6)/Operations!O14/O14,"")</f>
        <v>1.09894134001433</v>
      </c>
      <c r="P15" s="21" t="n">
        <f aca="false">IF(P6=1,SUMPRODUCT(P11:$AG$11,Operations!P13:$AG$13,P6:$AG$6)/Operations!P14/P14,"")</f>
        <v>1.09833013524905</v>
      </c>
      <c r="Q15" s="21" t="n">
        <f aca="false">IF(Q6=1,SUMPRODUCT(Q11:$AG$11,Operations!Q13:$AG$13,Q6:$AG$6)/Operations!Q14/Q14,"")</f>
        <v>1.09772637465901</v>
      </c>
      <c r="R15" s="21" t="n">
        <f aca="false">IF(R6=1,SUMPRODUCT(R11:$AG$11,Operations!R13:$AG$13,R6:$AG$6)/Operations!R14/R14,"")</f>
        <v>1.0971300469735</v>
      </c>
      <c r="S15" s="21" t="n">
        <f aca="false">IF(S6=1,SUMPRODUCT(S11:$AG$11,Operations!S13:$AG$13,S6:$AG$6)/Operations!S14/S14,"")</f>
        <v>1.09654113959006</v>
      </c>
      <c r="T15" s="21" t="n">
        <f aca="false">IF(T6=1,SUMPRODUCT(T11:$AG$11,Operations!T13:$AG$13,T6:$AG$6)/Operations!T14/T14,"")</f>
        <v>1.09595963856302</v>
      </c>
      <c r="U15" s="21" t="n">
        <f aca="false">IF(U6=1,SUMPRODUCT(U11:$AG$11,Operations!U13:$AG$13,U6:$AG$6)/Operations!U14/U14,"")</f>
        <v>1.0953855285931</v>
      </c>
      <c r="V15" s="21" t="str">
        <f aca="false">IF(V6=1,SUMPRODUCT(V11:$AG$11,Operations!V13:$AG$13,V6:$AG$6)/Operations!V14/V14,"")</f>
        <v/>
      </c>
      <c r="W15" s="21" t="str">
        <f aca="false">IF(W6=1,SUMPRODUCT(W11:$AG$11,Operations!W13:$AG$13,W6:$AG$6)/Operations!W14/W14,"")</f>
        <v/>
      </c>
      <c r="X15" s="21" t="str">
        <f aca="false">IF(X6=1,SUMPRODUCT(X11:$AG$11,Operations!X13:$AG$13,X6:$AG$6)/Operations!X14/X14,"")</f>
        <v/>
      </c>
      <c r="Y15" s="21" t="str">
        <f aca="false">IF(Y6=1,SUMPRODUCT(Y11:$AG$11,Operations!Y13:$AG$13,Y6:$AG$6)/Operations!Y14/Y14,"")</f>
        <v/>
      </c>
      <c r="Z15" s="21" t="str">
        <f aca="false">IF(Z6=1,SUMPRODUCT(Z11:$AG$11,Operations!Z13:$AG$13,Z6:$AG$6)/Operations!Z14/Z14,"")</f>
        <v/>
      </c>
      <c r="AA15" s="21" t="str">
        <f aca="false">IF(AA6=1,SUMPRODUCT(AA11:$AG$11,Operations!AA13:$AG$13,AA6:$AG$6)/Operations!AA14/AA14,"")</f>
        <v/>
      </c>
      <c r="AB15" s="21" t="str">
        <f aca="false">IF(AB6=1,SUMPRODUCT(AB11:$AG$11,Operations!AB13:$AG$13,AB6:$AG$6)/Operations!AB14/AB14,"")</f>
        <v/>
      </c>
      <c r="AC15" s="21" t="str">
        <f aca="false">IF(AC6=1,SUMPRODUCT(AC11:$AG$11,Operations!AC13:$AG$13,AC6:$AG$6)/Operations!AC14/AC14,"")</f>
        <v/>
      </c>
      <c r="AD15" s="21" t="str">
        <f aca="false">IF(AD6=1,SUMPRODUCT(AD11:$AG$11,Operations!AD13:$AG$13,AD6:$AG$6)/Operations!AD14/AD14,"")</f>
        <v/>
      </c>
      <c r="AE15" s="21" t="str">
        <f aca="false">IF(AE6=1,SUMPRODUCT(AE11:$AG$11,Operations!AE13:$AG$13,AE6:$AG$6)/Operations!AE14/AE14,"")</f>
        <v/>
      </c>
      <c r="AF15" s="21" t="str">
        <f aca="false">IF(AF6=1,SUMPRODUCT(AF11:$AG$11,Operations!AF13:$AG$13,AF6:$AG$6)/Operations!AF14/AF14,"")</f>
        <v/>
      </c>
      <c r="AG15" s="21" t="str">
        <f aca="false">IF(AG6=1,SUMPRODUCT(AG11:$AG$11,Operations!AG13:$AG$13,AG6:$AG$6)/Operations!AG14/AG14,"")</f>
        <v/>
      </c>
    </row>
    <row r="16" customFormat="false" ht="15" hidden="false" customHeight="false" outlineLevel="0" collapsed="false">
      <c r="B16" s="3" t="s">
        <v>107</v>
      </c>
      <c r="D16" s="15" t="n">
        <f aca="false">IF(D6=1,IF(D13&lt;Inputs!$C$22,1,0),0)</f>
        <v>1</v>
      </c>
      <c r="E16" s="15" t="n">
        <f aca="false">IF(E6=1,IF(E13&lt;Inputs!$C$22,1,0),0)</f>
        <v>1</v>
      </c>
      <c r="F16" s="15" t="n">
        <f aca="false">IF(F6=1,IF(F13&lt;Inputs!$C$22,1,0),0)</f>
        <v>1</v>
      </c>
      <c r="G16" s="15" t="n">
        <f aca="false">IF(G6=1,IF(G13&lt;Inputs!$C$22,1,0),0)</f>
        <v>1</v>
      </c>
      <c r="H16" s="15" t="n">
        <f aca="false">IF(H6=1,IF(H13&lt;Inputs!$C$22,1,0),0)</f>
        <v>1</v>
      </c>
      <c r="I16" s="15" t="n">
        <f aca="false">IF(I6=1,IF(I13&lt;Inputs!$C$22,1,0),0)</f>
        <v>1</v>
      </c>
      <c r="J16" s="15" t="n">
        <f aca="false">IF(J6=1,IF(J13&lt;Inputs!$C$22,1,0),0)</f>
        <v>1</v>
      </c>
      <c r="K16" s="15" t="n">
        <f aca="false">IF(K6=1,IF(K13&lt;Inputs!$C$22,1,0),0)</f>
        <v>1</v>
      </c>
      <c r="L16" s="15" t="n">
        <f aca="false">IF(L6=1,IF(L13&lt;Inputs!$C$22,1,0),0)</f>
        <v>1</v>
      </c>
      <c r="M16" s="15" t="n">
        <f aca="false">IF(M6=1,IF(M13&lt;Inputs!$C$22,1,0),0)</f>
        <v>1</v>
      </c>
      <c r="N16" s="15" t="n">
        <f aca="false">IF(N6=1,IF(N13&lt;Inputs!$C$22,1,0),0)</f>
        <v>1</v>
      </c>
      <c r="O16" s="15" t="n">
        <f aca="false">IF(O6=1,IF(O13&lt;Inputs!$C$22,1,0),0)</f>
        <v>1</v>
      </c>
      <c r="P16" s="15" t="n">
        <f aca="false">IF(P6=1,IF(P13&lt;Inputs!$C$22,1,0),0)</f>
        <v>1</v>
      </c>
      <c r="Q16" s="15" t="n">
        <f aca="false">IF(Q6=1,IF(Q13&lt;Inputs!$C$22,1,0),0)</f>
        <v>1</v>
      </c>
      <c r="R16" s="15" t="n">
        <f aca="false">IF(R6=1,IF(R13&lt;Inputs!$C$22,1,0),0)</f>
        <v>1</v>
      </c>
      <c r="S16" s="15" t="n">
        <f aca="false">IF(S6=1,IF(S13&lt;Inputs!$C$22,1,0),0)</f>
        <v>1</v>
      </c>
      <c r="T16" s="15" t="n">
        <f aca="false">IF(T6=1,IF(T13&lt;Inputs!$C$22,1,0),0)</f>
        <v>1</v>
      </c>
      <c r="U16" s="15" t="n">
        <f aca="false">IF(U6=1,IF(U13&lt;Inputs!$C$22,1,0),0)</f>
        <v>1</v>
      </c>
      <c r="V16" s="15" t="n">
        <f aca="false">IF(V6=1,IF(V13&lt;Inputs!$C$22,1,0),0)</f>
        <v>0</v>
      </c>
      <c r="W16" s="15" t="n">
        <f aca="false">IF(W6=1,IF(W13&lt;Inputs!$C$22,1,0),0)</f>
        <v>0</v>
      </c>
      <c r="X16" s="15" t="n">
        <f aca="false">IF(X6=1,IF(X13&lt;Inputs!$C$22,1,0),0)</f>
        <v>0</v>
      </c>
      <c r="Y16" s="15" t="n">
        <f aca="false">IF(Y6=1,IF(Y13&lt;Inputs!$C$22,1,0),0)</f>
        <v>0</v>
      </c>
      <c r="Z16" s="15" t="n">
        <f aca="false">IF(Z6=1,IF(Z13&lt;Inputs!$C$22,1,0),0)</f>
        <v>0</v>
      </c>
      <c r="AA16" s="15" t="n">
        <f aca="false">IF(AA6=1,IF(AA13&lt;Inputs!$C$22,1,0),0)</f>
        <v>0</v>
      </c>
      <c r="AB16" s="15" t="n">
        <f aca="false">IF(AB6=1,IF(AB13&lt;Inputs!$C$22,1,0),0)</f>
        <v>0</v>
      </c>
      <c r="AC16" s="15" t="n">
        <f aca="false">IF(AC6=1,IF(AC13&lt;Inputs!$C$22,1,0),0)</f>
        <v>0</v>
      </c>
      <c r="AD16" s="15" t="n">
        <f aca="false">IF(AD6=1,IF(AD13&lt;Inputs!$C$22,1,0),0)</f>
        <v>0</v>
      </c>
      <c r="AE16" s="15" t="n">
        <f aca="false">IF(AE6=1,IF(AE13&lt;Inputs!$C$22,1,0),0)</f>
        <v>0</v>
      </c>
      <c r="AF16" s="15" t="n">
        <f aca="false">IF(AF6=1,IF(AF13&lt;Inputs!$C$22,1,0),0)</f>
        <v>0</v>
      </c>
      <c r="AG16" s="15" t="n">
        <f aca="false">IF(AG6=1,IF(AG13&lt;Inputs!$C$22,1,0),0)</f>
        <v>0</v>
      </c>
    </row>
    <row r="17" customFormat="false" ht="15" hidden="false" customHeight="false" outlineLevel="0" collapsed="false">
      <c r="B17" s="3" t="s">
        <v>108</v>
      </c>
      <c r="D17" s="15" t="n">
        <f aca="false">IF(D6=1,IF(D13&lt;Inputs!$C$23,1,0),0)</f>
        <v>0</v>
      </c>
      <c r="E17" s="15" t="n">
        <f aca="false">IF(E6=1,IF(E13&lt;Inputs!$C$23,1,0),0)</f>
        <v>0</v>
      </c>
      <c r="F17" s="15" t="n">
        <f aca="false">IF(F6=1,IF(F13&lt;Inputs!$C$23,1,0),0)</f>
        <v>0</v>
      </c>
      <c r="G17" s="15" t="n">
        <f aca="false">IF(G6=1,IF(G13&lt;Inputs!$C$23,1,0),0)</f>
        <v>0</v>
      </c>
      <c r="H17" s="15" t="n">
        <f aca="false">IF(H6=1,IF(H13&lt;Inputs!$C$23,1,0),0)</f>
        <v>0</v>
      </c>
      <c r="I17" s="15" t="n">
        <f aca="false">IF(I6=1,IF(I13&lt;Inputs!$C$23,1,0),0)</f>
        <v>0</v>
      </c>
      <c r="J17" s="15" t="n">
        <f aca="false">IF(J6=1,IF(J13&lt;Inputs!$C$23,1,0),0)</f>
        <v>0</v>
      </c>
      <c r="K17" s="15" t="n">
        <f aca="false">IF(K6=1,IF(K13&lt;Inputs!$C$23,1,0),0)</f>
        <v>0</v>
      </c>
      <c r="L17" s="15" t="n">
        <f aca="false">IF(L6=1,IF(L13&lt;Inputs!$C$23,1,0),0)</f>
        <v>0</v>
      </c>
      <c r="M17" s="15" t="n">
        <f aca="false">IF(M6=1,IF(M13&lt;Inputs!$C$23,1,0),0)</f>
        <v>0</v>
      </c>
      <c r="N17" s="15" t="n">
        <f aca="false">IF(N6=1,IF(N13&lt;Inputs!$C$23,1,0),0)</f>
        <v>0</v>
      </c>
      <c r="O17" s="15" t="n">
        <f aca="false">IF(O6=1,IF(O13&lt;Inputs!$C$23,1,0),0)</f>
        <v>0</v>
      </c>
      <c r="P17" s="15" t="n">
        <f aca="false">IF(P6=1,IF(P13&lt;Inputs!$C$23,1,0),0)</f>
        <v>0</v>
      </c>
      <c r="Q17" s="15" t="n">
        <f aca="false">IF(Q6=1,IF(Q13&lt;Inputs!$C$23,1,0),0)</f>
        <v>0</v>
      </c>
      <c r="R17" s="15" t="n">
        <f aca="false">IF(R6=1,IF(R13&lt;Inputs!$C$23,1,0),0)</f>
        <v>0</v>
      </c>
      <c r="S17" s="15" t="n">
        <f aca="false">IF(S6=1,IF(S13&lt;Inputs!$C$23,1,0),0)</f>
        <v>0</v>
      </c>
      <c r="T17" s="15" t="n">
        <f aca="false">IF(T6=1,IF(T13&lt;Inputs!$C$23,1,0),0)</f>
        <v>0</v>
      </c>
      <c r="U17" s="15" t="n">
        <f aca="false">IF(U6=1,IF(U13&lt;Inputs!$C$23,1,0),0)</f>
        <v>0</v>
      </c>
      <c r="V17" s="15" t="n">
        <f aca="false">IF(V6=1,IF(V13&lt;Inputs!$C$23,1,0),0)</f>
        <v>0</v>
      </c>
      <c r="W17" s="15" t="n">
        <f aca="false">IF(W6=1,IF(W13&lt;Inputs!$C$23,1,0),0)</f>
        <v>0</v>
      </c>
      <c r="X17" s="15" t="n">
        <f aca="false">IF(X6=1,IF(X13&lt;Inputs!$C$23,1,0),0)</f>
        <v>0</v>
      </c>
      <c r="Y17" s="15" t="n">
        <f aca="false">IF(Y6=1,IF(Y13&lt;Inputs!$C$23,1,0),0)</f>
        <v>0</v>
      </c>
      <c r="Z17" s="15" t="n">
        <f aca="false">IF(Z6=1,IF(Z13&lt;Inputs!$C$23,1,0),0)</f>
        <v>0</v>
      </c>
      <c r="AA17" s="15" t="n">
        <f aca="false">IF(AA6=1,IF(AA13&lt;Inputs!$C$23,1,0),0)</f>
        <v>0</v>
      </c>
      <c r="AB17" s="15" t="n">
        <f aca="false">IF(AB6=1,IF(AB13&lt;Inputs!$C$23,1,0),0)</f>
        <v>0</v>
      </c>
      <c r="AC17" s="15" t="n">
        <f aca="false">IF(AC6=1,IF(AC13&lt;Inputs!$C$23,1,0),0)</f>
        <v>0</v>
      </c>
      <c r="AD17" s="15" t="n">
        <f aca="false">IF(AD6=1,IF(AD13&lt;Inputs!$C$23,1,0),0)</f>
        <v>0</v>
      </c>
      <c r="AE17" s="15" t="n">
        <f aca="false">IF(AE6=1,IF(AE13&lt;Inputs!$C$23,1,0),0)</f>
        <v>0</v>
      </c>
      <c r="AF17" s="15" t="n">
        <f aca="false">IF(AF6=1,IF(AF13&lt;Inputs!$C$23,1,0),0)</f>
        <v>0</v>
      </c>
      <c r="AG17" s="15" t="n">
        <f aca="false">IF(AG6=1,IF(AG13&lt;Inputs!$C$23,1,0),0)</f>
        <v>0</v>
      </c>
    </row>
    <row r="18" customFormat="false" ht="15" hidden="false" customHeight="false" outlineLevel="0" collapsed="false">
      <c r="B18" s="3" t="s">
        <v>109</v>
      </c>
      <c r="D18" s="17" t="n">
        <f aca="false">C20+D11-D12</f>
        <v>3.47462962962964</v>
      </c>
      <c r="E18" s="17" t="n">
        <f aca="false">D20+E11-E12</f>
        <v>6.97133981481482</v>
      </c>
      <c r="F18" s="17" t="n">
        <f aca="false">E20+F11-F12</f>
        <v>10.4900350138889</v>
      </c>
      <c r="G18" s="17" t="n">
        <f aca="false">F20+G11-G12</f>
        <v>14.0306043455324</v>
      </c>
      <c r="H18" s="17" t="n">
        <f aca="false">G20+H11-H12</f>
        <v>17.5929209462596</v>
      </c>
      <c r="I18" s="17" t="n">
        <f aca="false">H20+I11-I12</f>
        <v>21.1768413066616</v>
      </c>
      <c r="J18" s="17" t="n">
        <f aca="false">I20+J11-J12</f>
        <v>24.7822045857715</v>
      </c>
      <c r="K18" s="17" t="n">
        <f aca="false">J20+K11-K12</f>
        <v>28.4088319028991</v>
      </c>
      <c r="L18" s="17" t="n">
        <f aca="false">K20+L11-L12</f>
        <v>32.0565256062639</v>
      </c>
      <c r="M18" s="17" t="n">
        <f aca="false">L20+M11-M12</f>
        <v>35.725068517736</v>
      </c>
      <c r="N18" s="17" t="n">
        <f aca="false">M20+N11-N12</f>
        <v>39.4142231529768</v>
      </c>
      <c r="O18" s="17" t="n">
        <f aca="false">N20+O11-O12</f>
        <v>43.1237309162482</v>
      </c>
      <c r="P18" s="17" t="n">
        <f aca="false">O20+P11-P12</f>
        <v>46.8533112691423</v>
      </c>
      <c r="Q18" s="17" t="n">
        <f aca="false">P20+Q11-Q12</f>
        <v>50.6026608724584</v>
      </c>
      <c r="R18" s="17" t="n">
        <f aca="false">Q20+R11-R12</f>
        <v>54.3714527004374</v>
      </c>
      <c r="S18" s="17" t="n">
        <f aca="false">R20+S11-S12</f>
        <v>58.1593351265354</v>
      </c>
      <c r="T18" s="17" t="n">
        <f aca="false">S20+T11-T12</f>
        <v>61.9659309799022</v>
      </c>
      <c r="U18" s="17" t="n">
        <f aca="false">T20+U11-U12</f>
        <v>65.7908365716997</v>
      </c>
      <c r="V18" s="17" t="n">
        <f aca="false">U20+V11-V12</f>
        <v>110.401794006215</v>
      </c>
      <c r="W18" s="17" t="n">
        <f aca="false">V20+W11-W12</f>
        <v>45.3090121881239</v>
      </c>
      <c r="X18" s="17" t="n">
        <f aca="false">W20+X11-X12</f>
        <v>41.0186739269278</v>
      </c>
      <c r="Y18" s="17" t="n">
        <f aca="false">X20+Y11-Y12</f>
        <v>41.7401159378838</v>
      </c>
      <c r="Z18" s="17" t="n">
        <f aca="false">Y20+Z11-Z12</f>
        <v>42.4735135023694</v>
      </c>
      <c r="AA18" s="17" t="n">
        <f aca="false">Z20+AA11-AA12</f>
        <v>43.2190438992879</v>
      </c>
      <c r="AB18" s="17" t="n">
        <f aca="false">AA20+AB11-AB12</f>
        <v>43.9768864073165</v>
      </c>
      <c r="AC18" s="17" t="n">
        <f aca="false">AB20+AC11-AC12</f>
        <v>0</v>
      </c>
      <c r="AD18" s="17" t="n">
        <f aca="false">AC20+AD11-AD12</f>
        <v>0</v>
      </c>
      <c r="AE18" s="17" t="n">
        <f aca="false">AD20+AE11-AE12</f>
        <v>0</v>
      </c>
      <c r="AF18" s="17" t="n">
        <f aca="false">AE20+AF11-AF12</f>
        <v>0</v>
      </c>
      <c r="AG18" s="17" t="n">
        <f aca="false">AF20+AG11-AG12</f>
        <v>0</v>
      </c>
    </row>
    <row r="19" customFormat="false" ht="15" hidden="false" customHeight="false" outlineLevel="0" collapsed="false">
      <c r="B19" s="3" t="s">
        <v>110</v>
      </c>
      <c r="D19" s="17" t="n">
        <f aca="false">MAX(0,-D18)</f>
        <v>0</v>
      </c>
      <c r="E19" s="17" t="n">
        <f aca="false">MAX(0,-E18)</f>
        <v>0</v>
      </c>
      <c r="F19" s="17" t="n">
        <f aca="false">MAX(0,-F18)</f>
        <v>0</v>
      </c>
      <c r="G19" s="17" t="n">
        <f aca="false">MAX(0,-G18)</f>
        <v>0</v>
      </c>
      <c r="H19" s="17" t="n">
        <f aca="false">MAX(0,-H18)</f>
        <v>0</v>
      </c>
      <c r="I19" s="17" t="n">
        <f aca="false">MAX(0,-I18)</f>
        <v>0</v>
      </c>
      <c r="J19" s="17" t="n">
        <f aca="false">MAX(0,-J18)</f>
        <v>0</v>
      </c>
      <c r="K19" s="17" t="n">
        <f aca="false">MAX(0,-K18)</f>
        <v>0</v>
      </c>
      <c r="L19" s="17" t="n">
        <f aca="false">MAX(0,-L18)</f>
        <v>0</v>
      </c>
      <c r="M19" s="17" t="n">
        <f aca="false">MAX(0,-M18)</f>
        <v>0</v>
      </c>
      <c r="N19" s="17" t="n">
        <f aca="false">MAX(0,-N18)</f>
        <v>0</v>
      </c>
      <c r="O19" s="17" t="n">
        <f aca="false">MAX(0,-O18)</f>
        <v>0</v>
      </c>
      <c r="P19" s="17" t="n">
        <f aca="false">MAX(0,-P18)</f>
        <v>0</v>
      </c>
      <c r="Q19" s="17" t="n">
        <f aca="false">MAX(0,-Q18)</f>
        <v>0</v>
      </c>
      <c r="R19" s="17" t="n">
        <f aca="false">MAX(0,-R18)</f>
        <v>0</v>
      </c>
      <c r="S19" s="17" t="n">
        <f aca="false">MAX(0,-S18)</f>
        <v>0</v>
      </c>
      <c r="T19" s="17" t="n">
        <f aca="false">MAX(0,-T18)</f>
        <v>0</v>
      </c>
      <c r="U19" s="17" t="n">
        <f aca="false">MAX(0,-U18)</f>
        <v>0</v>
      </c>
      <c r="V19" s="17" t="n">
        <f aca="false">MAX(0,-V18)</f>
        <v>0</v>
      </c>
      <c r="W19" s="17" t="n">
        <f aca="false">MAX(0,-W18)</f>
        <v>0</v>
      </c>
      <c r="X19" s="17" t="n">
        <f aca="false">MAX(0,-X18)</f>
        <v>0</v>
      </c>
      <c r="Y19" s="17" t="n">
        <f aca="false">MAX(0,-Y18)</f>
        <v>0</v>
      </c>
      <c r="Z19" s="17" t="n">
        <f aca="false">MAX(0,-Z18)</f>
        <v>0</v>
      </c>
      <c r="AA19" s="17" t="n">
        <f aca="false">MAX(0,-AA18)</f>
        <v>0</v>
      </c>
      <c r="AB19" s="17" t="n">
        <f aca="false">MAX(0,-AB18)</f>
        <v>0</v>
      </c>
      <c r="AC19" s="17" t="n">
        <f aca="false">MAX(0,-AC18)</f>
        <v>-0</v>
      </c>
      <c r="AD19" s="17" t="n">
        <f aca="false">MAX(0,-AD18)</f>
        <v>-0</v>
      </c>
      <c r="AE19" s="17" t="n">
        <f aca="false">MAX(0,-AE18)</f>
        <v>-0</v>
      </c>
      <c r="AF19" s="17" t="n">
        <f aca="false">MAX(0,-AF18)</f>
        <v>-0</v>
      </c>
      <c r="AG19" s="17" t="n">
        <f aca="false">MAX(0,-AG18)</f>
        <v>-0</v>
      </c>
    </row>
    <row r="20" customFormat="false" ht="15" hidden="false" customHeight="false" outlineLevel="0" collapsed="false">
      <c r="B20" s="3" t="s">
        <v>111</v>
      </c>
      <c r="C20" s="17" t="n">
        <v>0</v>
      </c>
      <c r="D20" s="17" t="n">
        <f aca="false">MAX(0,D18)-D21</f>
        <v>3.47462962962964</v>
      </c>
      <c r="E20" s="17" t="n">
        <f aca="false">MAX(0,E18)-E21</f>
        <v>6.97133981481482</v>
      </c>
      <c r="F20" s="17" t="n">
        <f aca="false">MAX(0,F18)-F21</f>
        <v>10.4900350138889</v>
      </c>
      <c r="G20" s="17" t="n">
        <f aca="false">MAX(0,G18)-G21</f>
        <v>14.0306043455324</v>
      </c>
      <c r="H20" s="17" t="n">
        <f aca="false">MAX(0,H18)-H21</f>
        <v>17.5929209462596</v>
      </c>
      <c r="I20" s="17" t="n">
        <f aca="false">MAX(0,I18)-I21</f>
        <v>21.1768413066616</v>
      </c>
      <c r="J20" s="17" t="n">
        <f aca="false">MAX(0,J18)-J21</f>
        <v>24.7822045857715</v>
      </c>
      <c r="K20" s="17" t="n">
        <f aca="false">MAX(0,K18)-K21</f>
        <v>28.4088319028991</v>
      </c>
      <c r="L20" s="17" t="n">
        <f aca="false">MAX(0,L18)-L21</f>
        <v>32.0565256062639</v>
      </c>
      <c r="M20" s="17" t="n">
        <f aca="false">MAX(0,M18)-M21</f>
        <v>35.725068517736</v>
      </c>
      <c r="N20" s="17" t="n">
        <f aca="false">MAX(0,N18)-N21</f>
        <v>39.4142231529768</v>
      </c>
      <c r="O20" s="17" t="n">
        <f aca="false">MAX(0,O18)-O21</f>
        <v>43.1237309162482</v>
      </c>
      <c r="P20" s="17" t="n">
        <f aca="false">MAX(0,P18)-P21</f>
        <v>46.8533112691423</v>
      </c>
      <c r="Q20" s="17" t="n">
        <f aca="false">MAX(0,Q18)-Q21</f>
        <v>50.6026608724584</v>
      </c>
      <c r="R20" s="17" t="n">
        <f aca="false">MAX(0,R18)-R21</f>
        <v>54.3714527004374</v>
      </c>
      <c r="S20" s="17" t="n">
        <f aca="false">MAX(0,S18)-S21</f>
        <v>58.1593351265354</v>
      </c>
      <c r="T20" s="17" t="n">
        <f aca="false">MAX(0,T18)-T21</f>
        <v>61.9659309799022</v>
      </c>
      <c r="U20" s="17" t="n">
        <f aca="false">MAX(0,U18)-U21</f>
        <v>65.7908365716997</v>
      </c>
      <c r="V20" s="17" t="n">
        <f aca="false">MAX(0,V18)-V21</f>
        <v>0</v>
      </c>
      <c r="W20" s="17" t="n">
        <f aca="false">MAX(0,W18)-W21</f>
        <v>0</v>
      </c>
      <c r="X20" s="17" t="n">
        <f aca="false">MAX(0,X18)-X21</f>
        <v>0</v>
      </c>
      <c r="Y20" s="17" t="n">
        <f aca="false">MAX(0,Y18)-Y21</f>
        <v>0</v>
      </c>
      <c r="Z20" s="17" t="n">
        <f aca="false">MAX(0,Z18)-Z21</f>
        <v>0</v>
      </c>
      <c r="AA20" s="17" t="n">
        <f aca="false">MAX(0,AA18)-AA21</f>
        <v>0</v>
      </c>
      <c r="AB20" s="17" t="n">
        <f aca="false">MAX(0,AB18)-AB21</f>
        <v>0</v>
      </c>
      <c r="AC20" s="17" t="n">
        <f aca="false">MAX(0,AC18)-AC21</f>
        <v>0</v>
      </c>
      <c r="AD20" s="17" t="n">
        <f aca="false">MAX(0,AD18)-AD21</f>
        <v>0</v>
      </c>
      <c r="AE20" s="17" t="n">
        <f aca="false">MAX(0,AE18)-AE21</f>
        <v>0</v>
      </c>
      <c r="AF20" s="17" t="n">
        <f aca="false">MAX(0,AF18)-AF21</f>
        <v>0</v>
      </c>
      <c r="AG20" s="17" t="n">
        <f aca="false">MAX(0,AG18)-AG21</f>
        <v>0</v>
      </c>
    </row>
    <row r="21" customFormat="false" ht="15" hidden="false" customHeight="false" outlineLevel="0" collapsed="false">
      <c r="B21" s="3" t="s">
        <v>112</v>
      </c>
      <c r="D21" s="17" t="n">
        <f aca="false">IF(D16=1,0,MAX(0,D18))</f>
        <v>0</v>
      </c>
      <c r="E21" s="17" t="n">
        <f aca="false">IF(E16=1,0,MAX(0,E18))</f>
        <v>0</v>
      </c>
      <c r="F21" s="17" t="n">
        <f aca="false">IF(F16=1,0,MAX(0,F18))</f>
        <v>0</v>
      </c>
      <c r="G21" s="17" t="n">
        <f aca="false">IF(G16=1,0,MAX(0,G18))</f>
        <v>0</v>
      </c>
      <c r="H21" s="17" t="n">
        <f aca="false">IF(H16=1,0,MAX(0,H18))</f>
        <v>0</v>
      </c>
      <c r="I21" s="17" t="n">
        <f aca="false">IF(I16=1,0,MAX(0,I18))</f>
        <v>0</v>
      </c>
      <c r="J21" s="17" t="n">
        <f aca="false">IF(J16=1,0,MAX(0,J18))</f>
        <v>0</v>
      </c>
      <c r="K21" s="17" t="n">
        <f aca="false">IF(K16=1,0,MAX(0,K18))</f>
        <v>0</v>
      </c>
      <c r="L21" s="17" t="n">
        <f aca="false">IF(L16=1,0,MAX(0,L18))</f>
        <v>0</v>
      </c>
      <c r="M21" s="17" t="n">
        <f aca="false">IF(M16=1,0,MAX(0,M18))</f>
        <v>0</v>
      </c>
      <c r="N21" s="17" t="n">
        <f aca="false">IF(N16=1,0,MAX(0,N18))</f>
        <v>0</v>
      </c>
      <c r="O21" s="17" t="n">
        <f aca="false">IF(O16=1,0,MAX(0,O18))</f>
        <v>0</v>
      </c>
      <c r="P21" s="17" t="n">
        <f aca="false">IF(P16=1,0,MAX(0,P18))</f>
        <v>0</v>
      </c>
      <c r="Q21" s="17" t="n">
        <f aca="false">IF(Q16=1,0,MAX(0,Q18))</f>
        <v>0</v>
      </c>
      <c r="R21" s="17" t="n">
        <f aca="false">IF(R16=1,0,MAX(0,R18))</f>
        <v>0</v>
      </c>
      <c r="S21" s="17" t="n">
        <f aca="false">IF(S16=1,0,MAX(0,S18))</f>
        <v>0</v>
      </c>
      <c r="T21" s="17" t="n">
        <f aca="false">IF(T16=1,0,MAX(0,T18))</f>
        <v>0</v>
      </c>
      <c r="U21" s="17" t="n">
        <f aca="false">IF(U16=1,0,MAX(0,U18))</f>
        <v>0</v>
      </c>
      <c r="V21" s="17" t="n">
        <f aca="false">IF(V16=1,0,MAX(0,V18))</f>
        <v>110.401794006215</v>
      </c>
      <c r="W21" s="17" t="n">
        <f aca="false">IF(W16=1,0,MAX(0,W18))</f>
        <v>45.3090121881239</v>
      </c>
      <c r="X21" s="17" t="n">
        <f aca="false">IF(X16=1,0,MAX(0,X18))</f>
        <v>41.0186739269278</v>
      </c>
      <c r="Y21" s="17" t="n">
        <f aca="false">IF(Y16=1,0,MAX(0,Y18))</f>
        <v>41.7401159378838</v>
      </c>
      <c r="Z21" s="17" t="n">
        <f aca="false">IF(Z16=1,0,MAX(0,Z18))</f>
        <v>42.4735135023694</v>
      </c>
      <c r="AA21" s="17" t="n">
        <f aca="false">IF(AA16=1,0,MAX(0,AA18))</f>
        <v>43.2190438992879</v>
      </c>
      <c r="AB21" s="17" t="n">
        <f aca="false">IF(AB16=1,0,MAX(0,AB18))</f>
        <v>43.9768864073165</v>
      </c>
      <c r="AC21" s="17" t="n">
        <f aca="false">IF(AC16=1,0,MAX(0,AC18))</f>
        <v>0</v>
      </c>
      <c r="AD21" s="17" t="n">
        <f aca="false">IF(AD16=1,0,MAX(0,AD18))</f>
        <v>0</v>
      </c>
      <c r="AE21" s="17" t="n">
        <f aca="false">IF(AE16=1,0,MAX(0,AE18))</f>
        <v>0</v>
      </c>
      <c r="AF21" s="17" t="n">
        <f aca="false">IF(AF16=1,0,MAX(0,AF18))</f>
        <v>0</v>
      </c>
      <c r="AG21" s="17" t="n">
        <f aca="false">IF(AG16=1,0,MAX(0,AG18))</f>
        <v>0</v>
      </c>
    </row>
    <row r="24" customFormat="false" ht="15" hidden="false" customHeight="false" outlineLevel="0" collapsed="false">
      <c r="B24" s="3" t="s">
        <v>113</v>
      </c>
      <c r="D24" s="16" t="n">
        <f aca="false">IF((Inputs!$C$5-2+0)&gt;=1,-INDEX(Construction!$C$13:$E$13,1,(Inputs!$C$5-2+0))-IF((Inputs!$C$5-2+0)=Inputs!$C$5,Inputs!$C$29*Inputs!$C$6,0),0)</f>
        <v>0</v>
      </c>
      <c r="E24" s="16" t="n">
        <f aca="false">IF((Inputs!$C$5-2+1)&gt;=1,-INDEX(Construction!$C$13:$E$13,1,(Inputs!$C$5-2+1))-IF((Inputs!$C$5-2+1)=Inputs!$C$5,Inputs!$C$29*Inputs!$C$6,0),0)</f>
        <v>-20.5034057552618</v>
      </c>
      <c r="F24" s="16" t="n">
        <f aca="false">IF((Inputs!$C$5-2+2)&gt;=1,-INDEX(Construction!$C$13:$E$13,1,(Inputs!$C$5-2+2))-IF((Inputs!$C$5-2+2)=Inputs!$C$5,Inputs!$C$29*Inputs!$C$6,0),0)</f>
        <v>-45.4053263792756</v>
      </c>
      <c r="G24" s="17" t="n">
        <f aca="false">D21</f>
        <v>0</v>
      </c>
      <c r="H24" s="17" t="n">
        <f aca="false">E21</f>
        <v>0</v>
      </c>
      <c r="I24" s="17" t="n">
        <f aca="false">F21</f>
        <v>0</v>
      </c>
      <c r="J24" s="17" t="n">
        <f aca="false">G21</f>
        <v>0</v>
      </c>
      <c r="K24" s="17" t="n">
        <f aca="false">H21</f>
        <v>0</v>
      </c>
      <c r="L24" s="17" t="n">
        <f aca="false">I21</f>
        <v>0</v>
      </c>
      <c r="M24" s="17" t="n">
        <f aca="false">J21</f>
        <v>0</v>
      </c>
      <c r="N24" s="17" t="n">
        <f aca="false">K21</f>
        <v>0</v>
      </c>
      <c r="O24" s="17" t="n">
        <f aca="false">L21</f>
        <v>0</v>
      </c>
      <c r="P24" s="17" t="n">
        <f aca="false">M21</f>
        <v>0</v>
      </c>
      <c r="Q24" s="17" t="n">
        <f aca="false">N21</f>
        <v>0</v>
      </c>
      <c r="R24" s="17" t="n">
        <f aca="false">O21</f>
        <v>0</v>
      </c>
      <c r="S24" s="17" t="n">
        <f aca="false">P21</f>
        <v>0</v>
      </c>
      <c r="T24" s="17" t="n">
        <f aca="false">Q21</f>
        <v>0</v>
      </c>
      <c r="U24" s="17" t="n">
        <f aca="false">R21</f>
        <v>0</v>
      </c>
      <c r="V24" s="17" t="n">
        <f aca="false">S21</f>
        <v>0</v>
      </c>
      <c r="W24" s="17" t="n">
        <f aca="false">T21</f>
        <v>0</v>
      </c>
      <c r="X24" s="17" t="n">
        <f aca="false">U21</f>
        <v>0</v>
      </c>
      <c r="Y24" s="17" t="n">
        <f aca="false">V21</f>
        <v>110.401794006215</v>
      </c>
      <c r="Z24" s="17" t="n">
        <f aca="false">W21</f>
        <v>45.3090121881239</v>
      </c>
      <c r="AA24" s="17" t="n">
        <f aca="false">X21</f>
        <v>41.0186739269278</v>
      </c>
      <c r="AB24" s="17" t="n">
        <f aca="false">Y21</f>
        <v>41.7401159378838</v>
      </c>
      <c r="AC24" s="17" t="n">
        <f aca="false">Z21</f>
        <v>42.4735135023694</v>
      </c>
      <c r="AD24" s="17" t="n">
        <f aca="false">AA21</f>
        <v>43.2190438992879</v>
      </c>
      <c r="AE24" s="17" t="n">
        <f aca="false">AB21</f>
        <v>43.9768864073165</v>
      </c>
      <c r="AF24" s="17" t="n">
        <f aca="false">AC21</f>
        <v>0</v>
      </c>
      <c r="AG24" s="17" t="n">
        <f aca="false">AD21</f>
        <v>0</v>
      </c>
      <c r="AH24" s="17" t="n">
        <f aca="false">AE21</f>
        <v>0</v>
      </c>
      <c r="AI24" s="17" t="n">
        <f aca="false">AF21</f>
        <v>0</v>
      </c>
      <c r="AJ24" s="17" t="n">
        <f aca="false">AG21</f>
        <v>0</v>
      </c>
    </row>
    <row r="27" customFormat="false" ht="15" hidden="false" customHeight="false" outlineLevel="0" collapsed="false">
      <c r="B27" s="2" t="s">
        <v>114</v>
      </c>
    </row>
    <row r="28" customFormat="false" ht="15" hidden="false" customHeight="false" outlineLevel="0" collapsed="false">
      <c r="B28" s="2" t="s">
        <v>115</v>
      </c>
      <c r="C28" s="20" t="n">
        <f aca="false">MIN(D13:AG13)</f>
        <v>1.09538552859309</v>
      </c>
    </row>
    <row r="29" customFormat="false" ht="15" hidden="false" customHeight="false" outlineLevel="0" collapsed="false">
      <c r="B29" s="3" t="s">
        <v>116</v>
      </c>
      <c r="C29" s="20" t="n">
        <f aca="false">AVERAGE(D13:AG13)</f>
        <v>1.10490735117064</v>
      </c>
    </row>
    <row r="30" customFormat="false" ht="15" hidden="false" customHeight="false" outlineLevel="0" collapsed="false">
      <c r="B30" s="3" t="s">
        <v>117</v>
      </c>
      <c r="C30" s="20" t="n">
        <f aca="false">D15</f>
        <v>1.1061578404357</v>
      </c>
    </row>
    <row r="31" customFormat="false" ht="15" hidden="false" customHeight="false" outlineLevel="0" collapsed="false">
      <c r="B31" s="3" t="s">
        <v>118</v>
      </c>
      <c r="C31" s="20" t="n">
        <f aca="false">MIN(D15:AG15)</f>
        <v>1.0953855285931</v>
      </c>
    </row>
    <row r="32" customFormat="false" ht="15" hidden="false" customHeight="false" outlineLevel="0" collapsed="false">
      <c r="B32" s="3" t="s">
        <v>119</v>
      </c>
      <c r="C32" s="21" t="n">
        <f aca="false">SUMPRODUCT(D11:AG11,Operations!D13:AG13,D5:AG5)/D14</f>
        <v>1.33498817502862</v>
      </c>
    </row>
    <row r="33" customFormat="false" ht="15" hidden="false" customHeight="false" outlineLevel="0" collapsed="false">
      <c r="B33" s="3" t="s">
        <v>120</v>
      </c>
      <c r="C33" s="22" t="n">
        <f aca="false">SUM(D16:AG16)</f>
        <v>18</v>
      </c>
    </row>
    <row r="34" customFormat="false" ht="15" hidden="false" customHeight="false" outlineLevel="0" collapsed="false">
      <c r="B34" s="3" t="s">
        <v>121</v>
      </c>
      <c r="C34" s="22" t="n">
        <f aca="false">SUM(D17:AG17)</f>
        <v>0</v>
      </c>
    </row>
    <row r="35" customFormat="false" ht="15" hidden="false" customHeight="false" outlineLevel="0" collapsed="false">
      <c r="B35" s="3" t="s">
        <v>122</v>
      </c>
      <c r="C35" s="17" t="n">
        <f aca="false">SUM(D19:AG19)</f>
        <v>0</v>
      </c>
    </row>
    <row r="36" customFormat="false" ht="15" hidden="false" customHeight="false" outlineLevel="0" collapsed="false">
      <c r="B36" s="3" t="s">
        <v>123</v>
      </c>
      <c r="C36" s="17" t="n">
        <f aca="false">SUM(D21:AG21)</f>
        <v>368.139039868124</v>
      </c>
    </row>
    <row r="37" customFormat="false" ht="15" hidden="false" customHeight="false" outlineLevel="0" collapsed="false">
      <c r="B37" s="2" t="s">
        <v>124</v>
      </c>
      <c r="C37" s="23" t="n">
        <f aca="false">IFERROR(IRR(D24:AJ24),IFERROR(IRR(D24:AJ24,-0.1),"n/a"))</f>
        <v>0.0829395232372781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125</v>
      </c>
    </row>
    <row r="3" customFormat="false" ht="15" hidden="false" customHeight="false" outlineLevel="0" collapsed="false">
      <c r="A3" s="2" t="s">
        <v>126</v>
      </c>
    </row>
    <row r="4" customFormat="false" ht="15" hidden="false" customHeight="false" outlineLevel="0" collapsed="false">
      <c r="C4" s="2" t="s">
        <v>127</v>
      </c>
    </row>
    <row r="5" customFormat="false" ht="15" hidden="false" customHeight="false" outlineLevel="0" collapsed="false">
      <c r="A5" s="3" t="s">
        <v>128</v>
      </c>
      <c r="B5" s="24" t="b">
        <f aca="false">ABS(C5-Inputs!C32)&lt;0.000001</f>
        <v>1</v>
      </c>
      <c r="C5" s="16" t="n">
        <f aca="false">Operations!C33</f>
        <v>369.536697002487</v>
      </c>
    </row>
    <row r="6" customFormat="false" ht="15" hidden="false" customHeight="false" outlineLevel="0" collapsed="false">
      <c r="A6" s="3" t="s">
        <v>129</v>
      </c>
      <c r="B6" s="24" t="b">
        <f aca="false">ABS(C6-Inputs!C33)&lt;0.000001</f>
        <v>1</v>
      </c>
      <c r="C6" s="16" t="n">
        <f aca="false">Construction!C15</f>
        <v>415.445429137024</v>
      </c>
    </row>
    <row r="7" customFormat="false" ht="15" hidden="false" customHeight="false" outlineLevel="0" collapsed="false">
      <c r="A7" s="3" t="s">
        <v>130</v>
      </c>
      <c r="B7" s="24" t="b">
        <f aca="false">ABS(Construction!C17-Inputs!C32)&lt;0.000001</f>
        <v>1</v>
      </c>
    </row>
    <row r="8" customFormat="false" ht="15" hidden="false" customHeight="false" outlineLevel="0" collapsed="false">
      <c r="A8" s="3" t="s">
        <v>131</v>
      </c>
      <c r="B8" s="24" t="b">
        <f aca="false">ABS(Operations!C37-Inputs!C32)&lt;0.000001</f>
        <v>1</v>
      </c>
    </row>
    <row r="9" customFormat="false" ht="15" hidden="false" customHeight="false" outlineLevel="0" collapsed="false">
      <c r="A9" s="3" t="s">
        <v>132</v>
      </c>
      <c r="B9" s="24" t="b">
        <f aca="false">ABS(Operations!C36)&lt;0.000001</f>
        <v>1</v>
      </c>
    </row>
    <row r="10" customFormat="false" ht="15" hidden="false" customHeight="false" outlineLevel="0" collapsed="false">
      <c r="A10" s="3" t="s">
        <v>133</v>
      </c>
      <c r="B10" s="24" t="b">
        <f aca="false">ABS(Construction!C17+Construction!C18-Construction!C15)&lt;0.000001</f>
        <v>1</v>
      </c>
    </row>
    <row r="11" customFormat="false" ht="15" hidden="false" customHeight="false" outlineLevel="0" collapsed="false">
      <c r="A11" s="3" t="s">
        <v>134</v>
      </c>
      <c r="B11" s="24" t="b">
        <f aca="false">Inputs!C32&lt;=Inputs!C20*Construction!C15+0.000001</f>
        <v>1</v>
      </c>
    </row>
    <row r="12" customFormat="false" ht="15" hidden="false" customHeight="false" outlineLevel="0" collapsed="false">
      <c r="A12" s="3" t="s">
        <v>135</v>
      </c>
      <c r="B12" s="24" t="b">
        <f aca="false">SUMPRODUCT(Operations!D6:AG6,ABS(Operations!D22:AG22-Operations!C34))&lt;0.000000001</f>
        <v>1</v>
      </c>
    </row>
    <row r="13" customFormat="false" ht="15" hidden="false" customHeight="false" outlineLevel="0" collapsed="false">
      <c r="A13" s="3" t="s">
        <v>136</v>
      </c>
      <c r="B13" s="24" t="b">
        <f aca="false">SUMPRODUCT(ABS(Analysis!D12:AG12-Operations!D16:AG16))&lt;0.000000001</f>
        <v>1</v>
      </c>
    </row>
    <row r="14" customFormat="false" ht="15" hidden="false" customHeight="false" outlineLevel="0" collapsed="false">
      <c r="A14" s="3" t="s">
        <v>137</v>
      </c>
      <c r="B14" s="24" t="b">
        <f aca="false">AND(ABS(SUM(Inputs!C7:C9)-1)&lt;0.000000001,ABS(SUM(Construction!C6:E6)-Inputs!C6)&lt;0.000001)</f>
        <v>1</v>
      </c>
    </row>
    <row r="15" customFormat="false" ht="15" hidden="false" customHeight="false" outlineLevel="0" collapsed="false">
      <c r="A15" s="3" t="s">
        <v>138</v>
      </c>
      <c r="B15" s="24" t="b">
        <f aca="false">AND(Inputs!C5&gt;=1,Inputs!C5&lt;=3,Inputs!C18&gt;=1,Inputs!C18&lt;Inputs!C10,Inputs!C10&lt;=30)</f>
        <v>1</v>
      </c>
    </row>
    <row r="17" customFormat="false" ht="15" hidden="false" customHeight="false" outlineLevel="0" collapsed="false">
      <c r="A17" s="2" t="s">
        <v>139</v>
      </c>
      <c r="B17" s="2" t="str">
        <f aca="false">IF(AND(B5:B15),"ALL CHECKS PASS","CHECK FAILED")</f>
        <v>ALL CHECKS PASS</v>
      </c>
    </row>
    <row r="19" customFormat="false" ht="15" hidden="false" customHeight="false" outlineLevel="0" collapsed="false">
      <c r="A19" s="3" t="s">
        <v>140</v>
      </c>
      <c r="B19" s="24" t="b">
        <f aca="false">Operations!C38&gt;=0</f>
        <v>1</v>
      </c>
    </row>
    <row r="21" customFormat="false" ht="15" hidden="false" customHeight="false" outlineLevel="0" collapsed="false">
      <c r="A21" s="2" t="s">
        <v>141</v>
      </c>
    </row>
    <row r="22" customFormat="false" ht="15" hidden="false" customHeight="false" outlineLevel="0" collapsed="false">
      <c r="A22" s="3" t="s">
        <v>142</v>
      </c>
    </row>
    <row r="24" customFormat="false" ht="15" hidden="false" customHeight="false" outlineLevel="0" collapsed="false">
      <c r="A24" s="2" t="s">
        <v>143</v>
      </c>
      <c r="B24" s="2" t="s">
        <v>144</v>
      </c>
      <c r="C24" s="2" t="s">
        <v>145</v>
      </c>
      <c r="D24" s="2" t="s">
        <v>146</v>
      </c>
    </row>
    <row r="25" customFormat="false" ht="15" hidden="false" customHeight="false" outlineLevel="0" collapsed="false">
      <c r="A25" s="3" t="s">
        <v>147</v>
      </c>
      <c r="B25" s="6" t="n">
        <v>369.536697002487</v>
      </c>
      <c r="C25" s="16" t="n">
        <f aca="false">Operations!C33</f>
        <v>369.536697002487</v>
      </c>
      <c r="D25" s="3" t="str">
        <f aca="false">IF(ABS(C25-B25)&lt;0.000001,"match","MISMATCH")</f>
        <v>match</v>
      </c>
    </row>
    <row r="26" customFormat="false" ht="15" hidden="false" customHeight="false" outlineLevel="0" collapsed="false">
      <c r="A26" s="3" t="s">
        <v>148</v>
      </c>
      <c r="B26" s="6" t="n">
        <v>415.445429137024</v>
      </c>
      <c r="C26" s="16" t="n">
        <f aca="false">Construction!C15</f>
        <v>415.445429137024</v>
      </c>
      <c r="D26" s="3" t="str">
        <f aca="false">IF(ABS(C26-B26)&lt;0.000001,"match","MISMATCH")</f>
        <v>match</v>
      </c>
    </row>
    <row r="27" customFormat="false" ht="15" hidden="false" customHeight="false" outlineLevel="0" collapsed="false">
      <c r="A27" s="3" t="s">
        <v>149</v>
      </c>
      <c r="B27" s="11" t="n">
        <v>1.35</v>
      </c>
      <c r="C27" s="21" t="n">
        <f aca="false">Operations!C34</f>
        <v>1.35</v>
      </c>
      <c r="D27" s="3" t="str">
        <f aca="false">IF(ABS(C27-B27)&lt;0.000001,"match","MISMATCH")</f>
        <v>match</v>
      </c>
    </row>
    <row r="28" customFormat="false" ht="15" hidden="false" customHeight="false" outlineLevel="0" collapsed="false">
      <c r="A28" s="3" t="s">
        <v>150</v>
      </c>
      <c r="B28" s="11" t="n">
        <v>1.09538552859309</v>
      </c>
      <c r="C28" s="21" t="n">
        <f aca="false">Analysis!C28</f>
        <v>1.09538552859309</v>
      </c>
      <c r="D28" s="3" t="str">
        <f aca="false">IF(ABS(C28-B28)&lt;0.000001,"match","MISMATCH")</f>
        <v>match</v>
      </c>
    </row>
    <row r="29" customFormat="false" ht="15" hidden="false" customHeight="false" outlineLevel="0" collapsed="false">
      <c r="A29" s="3" t="s">
        <v>151</v>
      </c>
      <c r="B29" s="11" t="n">
        <v>1.1061578404357</v>
      </c>
      <c r="C29" s="21" t="n">
        <f aca="false">Analysis!C30</f>
        <v>1.1061578404357</v>
      </c>
      <c r="D29" s="3" t="str">
        <f aca="false">IF(ABS(C29-B29)&lt;0.000001,"match","MISMATCH")</f>
        <v>match</v>
      </c>
    </row>
    <row r="30" customFormat="false" ht="15" hidden="false" customHeight="false" outlineLevel="0" collapsed="false">
      <c r="A30" s="3" t="s">
        <v>152</v>
      </c>
      <c r="B30" s="11" t="n">
        <v>1.33498817502862</v>
      </c>
      <c r="C30" s="21" t="n">
        <f aca="false">Analysis!C32</f>
        <v>1.33498817502862</v>
      </c>
      <c r="D30" s="3" t="str">
        <f aca="false">IF(ABS(C30-B30)&lt;0.000001,"match","MISMATCH")</f>
        <v>match</v>
      </c>
    </row>
    <row r="31" customFormat="false" ht="15" hidden="false" customHeight="false" outlineLevel="0" collapsed="false">
      <c r="A31" s="3" t="s">
        <v>153</v>
      </c>
      <c r="B31" s="4" t="n">
        <v>18</v>
      </c>
      <c r="C31" s="15" t="n">
        <f aca="false">Analysis!C33</f>
        <v>18</v>
      </c>
      <c r="D31" s="3" t="str">
        <f aca="false">IF(ABS(C31-B31)&lt;0.000001,"match","MISMATCH")</f>
        <v>match</v>
      </c>
    </row>
    <row r="32" customFormat="false" ht="15" hidden="false" customHeight="false" outlineLevel="0" collapsed="false">
      <c r="A32" s="3" t="s">
        <v>154</v>
      </c>
      <c r="B32" s="8" t="n">
        <v>0.0829395232376624</v>
      </c>
      <c r="C32" s="18" t="n">
        <f aca="false">Analysis!C37</f>
        <v>0.0829395232372781</v>
      </c>
      <c r="D32" s="3" t="str">
        <f aca="false">IF(ABS(C32-B32)&lt;0.000001,"match","MISMATCH")</f>
        <v>match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2026-09-30T13:26:15Z</dcterms:created>
  <dc:creator>openpyxl</dc:creator>
  <dc:description/>
  <dc:language>en-US</dc:language>
  <cp:lastModifiedBy/>
  <dcterms:modified xsi:type="dcterms:W3CDTF">2026-09-30T13:26:15Z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